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📊 Параметры" sheetId="1" state="visible" r:id="rId1"/>
    <sheet name="🔽 Воронка продаж" sheetId="2" state="visible" r:id="rId2"/>
    <sheet name="💸 Расходы" sheetId="3" state="visible" r:id="rId3"/>
    <sheet name="📈 P&amp;L 24 месяца" sheetId="4" state="visible" r:id="rId4"/>
    <sheet name="🎯 Unit Economics" sheetId="5" state="visible" r:id="rId5"/>
    <sheet name="🏆 KPI Dashboard" sheetId="6" state="visible" r:id="rId6"/>
    <sheet name="🎲 Сценарии" sheetId="7" state="visible" r:id="rId7"/>
    <sheet name="🏫 B2B Модел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0"/>
    <numFmt numFmtId="166" formatCode="$#,##0"/>
    <numFmt numFmtId="167" formatCode="#,##0 ₽"/>
    <numFmt numFmtId="168" formatCode="0.00x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F1F1F"/>
      <sz val="11"/>
    </font>
    <font>
      <name val="Calibri"/>
      <b val="1"/>
      <color rgb="00FFFFFF"/>
      <sz val="10"/>
    </font>
    <font>
      <name val="Calibri"/>
      <color rgb="001F1F1F"/>
      <sz val="10"/>
    </font>
    <font>
      <name val="Calibri"/>
      <color rgb="001F4E79"/>
      <sz val="10"/>
    </font>
    <font>
      <name val="Calibri"/>
      <sz val="10"/>
    </font>
    <font>
      <name val="Calibri"/>
      <color rgb="00595959"/>
      <sz val="9"/>
    </font>
    <font>
      <name val="Calibri"/>
      <b val="1"/>
      <color rgb="001F1F1F"/>
      <sz val="10"/>
    </font>
    <font>
      <name val="Calibri"/>
      <b val="1"/>
      <sz val="10"/>
    </font>
    <font>
      <b val="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sz val="11"/>
    </font>
    <font>
      <name val="Calibri"/>
      <b val="1"/>
      <color rgb="007C6BC4"/>
      <sz val="10"/>
    </font>
    <font>
      <name val="Calibri"/>
      <b val="1"/>
      <color rgb="001F4E79"/>
      <sz val="18"/>
    </font>
    <font>
      <name val="Calibri"/>
      <b val="1"/>
      <color rgb="00FFFFFF"/>
      <sz val="12"/>
    </font>
    <font>
      <name val="Calibri"/>
      <color rgb="00404040"/>
      <sz val="9"/>
    </font>
    <font>
      <name val="Calibri"/>
      <b val="1"/>
      <color rgb="00375623"/>
      <sz val="11"/>
    </font>
  </fonts>
  <fills count="1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7C6BC4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4" fontId="7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5" fontId="10" fillId="6" borderId="0" applyAlignment="1" pivotButton="0" quotePrefix="0" xfId="0">
      <alignment horizontal="right" vertical="center"/>
    </xf>
    <xf numFmtId="4" fontId="11" fillId="5" borderId="0" applyAlignment="1" pivotButton="0" quotePrefix="0" xfId="0">
      <alignment horizontal="right" vertical="center"/>
    </xf>
    <xf numFmtId="4" fontId="10" fillId="5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3" fontId="10" fillId="6" borderId="0" applyAlignment="1" pivotButton="0" quotePrefix="0" xfId="0">
      <alignment horizontal="right" vertical="center"/>
    </xf>
    <xf numFmtId="4" fontId="12" fillId="8" borderId="0" pivotButton="0" quotePrefix="0" xfId="0"/>
    <xf numFmtId="164" fontId="7" fillId="5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3" fontId="13" fillId="10" borderId="0" pivotButton="0" quotePrefix="0" xfId="0"/>
    <xf numFmtId="0" fontId="1" fillId="1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15" fillId="5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left" vertical="center"/>
    </xf>
    <xf numFmtId="3" fontId="16" fillId="12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3" fontId="16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3" fontId="16" fillId="6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3" fontId="16" fillId="8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left" vertical="center"/>
    </xf>
    <xf numFmtId="164" fontId="15" fillId="12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17" fillId="6" borderId="0" applyAlignment="1" pivotButton="0" quotePrefix="0" xfId="0">
      <alignment horizontal="left" vertical="center"/>
    </xf>
    <xf numFmtId="4" fontId="17" fillId="6" borderId="0" applyAlignment="1" pivotButton="0" quotePrefix="0" xfId="0">
      <alignment horizontal="right" vertical="center"/>
    </xf>
    <xf numFmtId="4" fontId="10" fillId="6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0" fontId="10" fillId="14" borderId="0" pivotButton="0" quotePrefix="0" xfId="0"/>
    <xf numFmtId="0" fontId="18" fillId="14" borderId="0" applyAlignment="1" pivotButton="0" quotePrefix="0" xfId="0">
      <alignment horizontal="center" vertical="center" wrapText="1"/>
    </xf>
    <xf numFmtId="167" fontId="19" fillId="15" borderId="0" applyAlignment="1" pivotButton="0" quotePrefix="0" xfId="0">
      <alignment horizontal="center" vertical="center"/>
    </xf>
    <xf numFmtId="3" fontId="19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168" fontId="19" fillId="15" borderId="0" applyAlignment="1" pivotButton="0" quotePrefix="0" xfId="0">
      <alignment horizontal="center" vertical="center"/>
    </xf>
    <xf numFmtId="4" fontId="19" fillId="15" borderId="0" applyAlignment="1" pivotButton="0" quotePrefix="0" xfId="0">
      <alignment horizontal="center" vertical="center"/>
    </xf>
    <xf numFmtId="164" fontId="19" fillId="15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3" fontId="15" fillId="15" borderId="0" applyAlignment="1" pivotButton="0" quotePrefix="0" xfId="0">
      <alignment horizontal="right" vertical="center"/>
    </xf>
    <xf numFmtId="164" fontId="15" fillId="15" borderId="0" applyAlignment="1" pivotButton="0" quotePrefix="0" xfId="0">
      <alignment horizontal="right" vertical="center"/>
    </xf>
    <xf numFmtId="3" fontId="15" fillId="16" borderId="0" applyAlignment="1" pivotButton="0" quotePrefix="0" xfId="0">
      <alignment horizontal="right" vertical="center"/>
    </xf>
    <xf numFmtId="164" fontId="15" fillId="16" borderId="0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164" fontId="7" fillId="8" borderId="0" applyAlignment="1" pivotButton="0" quotePrefix="0" xfId="0">
      <alignment horizontal="right" vertical="center"/>
    </xf>
    <xf numFmtId="3" fontId="10" fillId="4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7" fillId="8" borderId="0" applyAlignment="1" pivotButton="0" quotePrefix="0" xfId="0">
      <alignment horizontal="right" vertical="center"/>
    </xf>
    <xf numFmtId="3" fontId="7" fillId="12" borderId="0" applyAlignment="1" pivotButton="0" quotePrefix="0" xfId="0">
      <alignment horizontal="right" vertical="center"/>
    </xf>
    <xf numFmtId="0" fontId="20" fillId="11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right" vertical="center"/>
    </xf>
    <xf numFmtId="0" fontId="17" fillId="3" borderId="0" pivotButton="0" quotePrefix="0" xfId="0"/>
    <xf numFmtId="0" fontId="21" fillId="0" borderId="0" applyAlignment="1" pivotButton="0" quotePrefix="0" xfId="0">
      <alignment horizontal="left" wrapText="1"/>
    </xf>
    <xf numFmtId="0" fontId="21" fillId="0" borderId="0" applyAlignment="1" pivotButton="0" quotePrefix="0" xfId="0">
      <alignment wrapText="1"/>
    </xf>
    <xf numFmtId="3" fontId="12" fillId="8" borderId="0" applyAlignment="1" pivotButton="0" quotePrefix="0" xfId="0">
      <alignment horizontal="right" vertical="center"/>
    </xf>
    <xf numFmtId="4" fontId="22" fillId="12" borderId="0" applyAlignment="1" pivotButton="0" quotePrefix="0" xfId="0">
      <alignment horizontal="right" vertical="center"/>
    </xf>
    <xf numFmtId="3" fontId="12" fillId="8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4" customWidth="1" min="4" max="4"/>
    <col width="14" customWidth="1" min="5" max="5"/>
    <col width="3" customWidth="1" min="6" max="6"/>
    <col width="38" customWidth="1" min="7" max="7"/>
    <col width="13" customWidth="1" min="8" max="8"/>
    <col width="8" customWidth="1" min="9" max="9"/>
  </cols>
  <sheetData>
    <row r="1" ht="35" customHeight="1">
      <c r="A1" s="1" t="inlineStr">
        <is>
          <t>🚀  ФИНАНСОВАЯ МОДЕЛЬ — Семейное сторителлинг-приложение  |  B2C</t>
        </is>
      </c>
    </row>
    <row r="2" ht="16" customHeight="1">
      <c r="A2" s="2" t="inlineStr">
        <is>
          <t>⚠  Жёлтые ячейки — вводные данные (редактируйте).  Синие — расчётные (не трогайте).</t>
        </is>
      </c>
    </row>
    <row r="4" ht="22" customHeight="1">
      <c r="A4" s="3" t="inlineStr">
        <is>
          <t>💰  ТАРИФНЫЕ ПЛАНЫ</t>
        </is>
      </c>
      <c r="G4" s="3" t="inlineStr">
        <is>
          <t>📈  РОСТ И КОНВЕРСИЯ</t>
        </is>
      </c>
    </row>
    <row r="5" ht="20" customHeight="1">
      <c r="A5" s="4" t="inlineStr">
        <is>
          <t>Параметр</t>
        </is>
      </c>
      <c r="B5" s="4" t="inlineStr">
        <is>
          <t>Free</t>
        </is>
      </c>
      <c r="C5" s="4" t="inlineStr">
        <is>
          <t>Премиум</t>
        </is>
      </c>
      <c r="D5" s="4" t="inlineStr">
        <is>
          <t>Семейный</t>
        </is>
      </c>
      <c r="E5" s="4" t="inlineStr">
        <is>
          <t>Примечание</t>
        </is>
      </c>
      <c r="G5" s="4" t="inlineStr">
        <is>
          <t>Параметр</t>
        </is>
      </c>
      <c r="H5" s="4" t="inlineStr">
        <is>
          <t>Значение</t>
        </is>
      </c>
      <c r="I5" s="4" t="inlineStr">
        <is>
          <t>Ед.</t>
        </is>
      </c>
    </row>
    <row r="6" ht="20" customHeight="1">
      <c r="A6" s="5" t="inlineStr">
        <is>
          <t>Цена, руб/мес</t>
        </is>
      </c>
      <c r="B6" s="6" t="n">
        <v>0</v>
      </c>
      <c r="C6" s="6" t="n">
        <v>499</v>
      </c>
      <c r="D6" s="6" t="n">
        <v>799</v>
      </c>
      <c r="E6" s="2" t="inlineStr">
        <is>
          <t>Месячная подписка</t>
        </is>
      </c>
      <c r="G6" s="5" t="inlineStr">
        <is>
          <t>Установки в М1 (план)</t>
        </is>
      </c>
      <c r="H6" s="6" t="n">
        <v>500</v>
      </c>
      <c r="I6" s="7" t="inlineStr">
        <is>
          <t>шт</t>
        </is>
      </c>
    </row>
    <row r="7" ht="20" customHeight="1">
      <c r="A7" s="5" t="inlineStr">
        <is>
          <t>Цена, руб/год</t>
        </is>
      </c>
      <c r="B7" s="6" t="n">
        <v>0</v>
      </c>
      <c r="C7" s="6" t="n">
        <v>3990</v>
      </c>
      <c r="D7" s="6" t="n">
        <v>6390</v>
      </c>
      <c r="E7" s="2" t="inlineStr">
        <is>
          <t>Годовая (-33 %)</t>
        </is>
      </c>
      <c r="G7" s="5" t="inlineStr">
        <is>
          <t>Рост установок в мес (%)</t>
        </is>
      </c>
      <c r="H7" s="8" t="n">
        <v>0.15</v>
      </c>
      <c r="I7" s="7" t="inlineStr">
        <is>
          <t>%</t>
        </is>
      </c>
    </row>
    <row r="8" ht="20" customHeight="1">
      <c r="A8" s="5" t="inlineStr">
        <is>
          <t>Историй в месяц</t>
        </is>
      </c>
      <c r="B8" s="6" t="n">
        <v>3</v>
      </c>
      <c r="C8" s="6" t="n">
        <v>9999</v>
      </c>
      <c r="D8" s="6" t="n">
        <v>9999</v>
      </c>
      <c r="E8" s="2" t="inlineStr">
        <is>
          <t>9999 = безлимит</t>
        </is>
      </c>
      <c r="G8" s="5" t="inlineStr">
        <is>
          <t>Install → Регистрация</t>
        </is>
      </c>
      <c r="H8" s="8" t="n">
        <v>0.6</v>
      </c>
      <c r="I8" s="7" t="inlineStr">
        <is>
          <t>%</t>
        </is>
      </c>
    </row>
    <row r="9" ht="20" customHeight="1">
      <c r="A9" s="5" t="inlineStr">
        <is>
          <t>Профилей детей</t>
        </is>
      </c>
      <c r="B9" s="6" t="n">
        <v>1</v>
      </c>
      <c r="C9" s="6" t="n">
        <v>1</v>
      </c>
      <c r="D9" s="6" t="n">
        <v>5</v>
      </c>
      <c r="E9" s="2" t="inlineStr">
        <is>
          <t>Одновременных</t>
        </is>
      </c>
      <c r="G9" s="5" t="inlineStr">
        <is>
          <t>Регистрация → Free-активация</t>
        </is>
      </c>
      <c r="H9" s="8" t="n">
        <v>0.85</v>
      </c>
      <c r="I9" s="7" t="inlineStr">
        <is>
          <t>%</t>
        </is>
      </c>
    </row>
    <row r="10" ht="20" customHeight="1">
      <c r="A10" s="5" t="inlineStr">
        <is>
          <t>Иллюстрации</t>
        </is>
      </c>
      <c r="B10" s="9" t="inlineStr">
        <is>
          <t>Нет</t>
        </is>
      </c>
      <c r="C10" s="9" t="inlineStr">
        <is>
          <t>Да</t>
        </is>
      </c>
      <c r="D10" s="9" t="inlineStr">
        <is>
          <t>Да</t>
        </is>
      </c>
      <c r="E10" s="2" t="inlineStr"/>
      <c r="G10" s="5" t="inlineStr">
        <is>
          <t>Free → Премиум (conv %)</t>
        </is>
      </c>
      <c r="H10" s="8" t="n">
        <v>0.06</v>
      </c>
      <c r="I10" s="7" t="inlineStr">
        <is>
          <t>%</t>
        </is>
      </c>
    </row>
    <row r="11" ht="20" customHeight="1">
      <c r="A11" s="5" t="inlineStr">
        <is>
          <t>PDF-книги</t>
        </is>
      </c>
      <c r="B11" s="9" t="inlineStr">
        <is>
          <t>Нет</t>
        </is>
      </c>
      <c r="C11" s="9" t="inlineStr">
        <is>
          <t>Да</t>
        </is>
      </c>
      <c r="D11" s="9" t="inlineStr">
        <is>
          <t>Да</t>
        </is>
      </c>
      <c r="E11" s="2" t="inlineStr"/>
      <c r="G11" s="5" t="inlineStr">
        <is>
          <t>Free → Семейный (conv %)</t>
        </is>
      </c>
      <c r="H11" s="8" t="n">
        <v>0.02</v>
      </c>
      <c r="I11" s="7" t="inlineStr">
        <is>
          <t>%</t>
        </is>
      </c>
    </row>
    <row r="12" ht="20" customHeight="1">
      <c r="A12" s="5" t="inlineStr">
        <is>
          <t>Обработка личных фото</t>
        </is>
      </c>
      <c r="B12" s="9" t="inlineStr">
        <is>
          <t>Нет</t>
        </is>
      </c>
      <c r="C12" s="9" t="inlineStr">
        <is>
          <t>Нет</t>
        </is>
      </c>
      <c r="D12" s="9" t="inlineStr">
        <is>
          <t>Да</t>
        </is>
      </c>
      <c r="E12" s="2" t="inlineStr">
        <is>
          <t>Только Семейный</t>
        </is>
      </c>
      <c r="G12" s="5" t="inlineStr">
        <is>
          <t>Премиум → Семейный (upgrade %)</t>
        </is>
      </c>
      <c r="H12" s="8" t="n">
        <v>0.1</v>
      </c>
      <c r="I12" s="7" t="inlineStr">
        <is>
          <t>%</t>
        </is>
      </c>
    </row>
    <row r="13" ht="20" customHeight="1">
      <c r="A13" s="5" t="inlineStr">
        <is>
          <t>Голосовая озвучка</t>
        </is>
      </c>
      <c r="B13" s="9" t="inlineStr">
        <is>
          <t>Нет</t>
        </is>
      </c>
      <c r="C13" s="9" t="inlineStr">
        <is>
          <t>Нет</t>
        </is>
      </c>
      <c r="D13" s="9" t="inlineStr">
        <is>
          <t>Да*</t>
        </is>
      </c>
      <c r="E13" s="2" t="inlineStr">
        <is>
          <t>*В разработке</t>
        </is>
      </c>
      <c r="G13" s="5" t="inlineStr">
        <is>
          <t>Churn Премиум (мес %)</t>
        </is>
      </c>
      <c r="H13" s="8" t="n">
        <v>0.05</v>
      </c>
      <c r="I13" s="7" t="inlineStr">
        <is>
          <t>%</t>
        </is>
      </c>
    </row>
    <row r="14" ht="20" customHeight="1">
      <c r="G14" s="5" t="inlineStr">
        <is>
          <t>Churn Семейный (мес %)</t>
        </is>
      </c>
      <c r="H14" s="8" t="n">
        <v>0.03</v>
      </c>
      <c r="I14" s="7" t="inlineStr">
        <is>
          <t>%</t>
        </is>
      </c>
    </row>
    <row r="15" ht="20" customHeight="1">
      <c r="G15" s="5" t="inlineStr">
        <is>
          <t>Доля годовых подписок</t>
        </is>
      </c>
      <c r="H15" s="8" t="n">
        <v>0.3</v>
      </c>
      <c r="I15" s="7" t="inlineStr">
        <is>
          <t>%</t>
        </is>
      </c>
    </row>
    <row r="18" ht="22" customHeight="1">
      <c r="A18" s="3" t="inlineStr">
        <is>
          <t>🤖  ПЕРЕМЕННАЯ СЕБЕСТОИМОСТЬ AI (на пользователя/мес)</t>
        </is>
      </c>
    </row>
    <row r="19" ht="20" customHeight="1">
      <c r="A19" s="4" t="inlineStr">
        <is>
          <t>Операция</t>
        </is>
      </c>
      <c r="B19" s="4" t="inlineStr">
        <is>
          <t>Цена (USD)</t>
        </is>
      </c>
      <c r="C19" s="4" t="inlineStr">
        <is>
          <t>Кол-во/мес</t>
        </is>
      </c>
      <c r="D19" s="4" t="inlineStr">
        <is>
          <t>Итого USD</t>
        </is>
      </c>
      <c r="E19" s="4" t="inlineStr">
        <is>
          <t>Итого RUB</t>
        </is>
      </c>
    </row>
    <row r="20" ht="20" customHeight="1">
      <c r="A20" s="5" t="inlineStr">
        <is>
          <t>Генерация истории (LLM Groq)</t>
        </is>
      </c>
      <c r="B20" s="10" t="n">
        <v>0.005</v>
      </c>
      <c r="C20" s="6" t="n">
        <v>15</v>
      </c>
      <c r="D20" s="11">
        <f>B20*C20</f>
        <v/>
      </c>
      <c r="E20" s="12">
        <f>D20*B26</f>
        <v/>
      </c>
    </row>
    <row r="21" ht="20" customHeight="1">
      <c r="A21" s="5" t="inlineStr">
        <is>
          <t>Иллюстрация AI (Pollinations)</t>
        </is>
      </c>
      <c r="B21" s="10" t="n">
        <v>0.04</v>
      </c>
      <c r="C21" s="6" t="n">
        <v>5</v>
      </c>
      <c r="D21" s="11">
        <f>B21*C21</f>
        <v/>
      </c>
      <c r="E21" s="12">
        <f>D21*B26</f>
        <v/>
      </c>
    </row>
    <row r="22" ht="20" customHeight="1">
      <c r="A22" s="5" t="inlineStr">
        <is>
          <t>Обработка фото AI</t>
        </is>
      </c>
      <c r="B22" s="10" t="n">
        <v>0.08</v>
      </c>
      <c r="C22" s="6" t="n">
        <v>3</v>
      </c>
      <c r="D22" s="11">
        <f>B22*C22</f>
        <v/>
      </c>
      <c r="E22" s="12">
        <f>D22*B26</f>
        <v/>
      </c>
    </row>
    <row r="23" ht="20" customHeight="1">
      <c r="A23" s="5" t="inlineStr">
        <is>
          <t>Голосовая озвучка TTS</t>
        </is>
      </c>
      <c r="B23" s="10" t="n">
        <v>0.015</v>
      </c>
      <c r="C23" s="6" t="n">
        <v>8</v>
      </c>
      <c r="D23" s="11">
        <f>B23*C23</f>
        <v/>
      </c>
      <c r="E23" s="12">
        <f>D23*B26</f>
        <v/>
      </c>
    </row>
    <row r="24" ht="20" customHeight="1">
      <c r="A24" s="5" t="inlineStr">
        <is>
          <t>Storage / CDN на польз.</t>
        </is>
      </c>
      <c r="B24" s="10" t="n">
        <v>0.02</v>
      </c>
      <c r="C24" s="6" t="n">
        <v>1</v>
      </c>
      <c r="D24" s="11">
        <f>B24*C24</f>
        <v/>
      </c>
      <c r="E24" s="12">
        <f>D24*B26</f>
        <v/>
      </c>
    </row>
    <row r="25" ht="20" customHeight="1">
      <c r="A25" s="13" t="inlineStr">
        <is>
          <t>ИТОГО AI / польз. / мес (USD)</t>
        </is>
      </c>
      <c r="D25" s="14">
        <f>SUM(D20:D24)</f>
        <v/>
      </c>
      <c r="E25" s="15">
        <f>D25*B26</f>
        <v/>
      </c>
    </row>
    <row r="26" ht="20" customHeight="1">
      <c r="A26" s="5" t="inlineStr">
        <is>
          <t>Курс USD / RUB</t>
        </is>
      </c>
      <c r="B26" s="6" t="n">
        <v>95</v>
      </c>
      <c r="C26" s="13" t="inlineStr">
        <is>
          <t>AI себест. / польз. / мес (RUB)</t>
        </is>
      </c>
      <c r="D26" s="16">
        <f>D25*B26</f>
        <v/>
      </c>
    </row>
  </sheetData>
  <mergeCells count="5">
    <mergeCell ref="A4:E4"/>
    <mergeCell ref="A2:I2"/>
    <mergeCell ref="A1:I1"/>
    <mergeCell ref="G4:I4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2" customWidth="1" min="5" max="5"/>
    <col width="20" customWidth="1" min="6" max="6"/>
    <col width="12" customWidth="1" min="7" max="7"/>
    <col width="10" customWidth="1" min="8" max="8"/>
    <col width="25" customWidth="1" min="9" max="9"/>
  </cols>
  <sheetData>
    <row r="1" ht="35" customHeight="1">
      <c r="A1" s="17" t="inlineStr">
        <is>
          <t>ВОРОНКА ПРОДАЖ — КАНАЛЫ ПРИВЛЕЧЕНИЯ</t>
        </is>
      </c>
    </row>
    <row r="3" ht="22" customHeight="1">
      <c r="A3" s="3" t="inlineStr">
        <is>
          <t>📡  ПАРАМЕТРЫ КАНАЛОВ (редактируемые)</t>
        </is>
      </c>
    </row>
    <row r="4" ht="20" customHeight="1">
      <c r="A4" s="4" t="inlineStr">
        <is>
          <t>Канал</t>
        </is>
      </c>
      <c r="B4" s="4" t="inlineStr">
        <is>
          <t>Бюджет руб/мес</t>
        </is>
      </c>
      <c r="C4" s="4" t="inlineStr">
        <is>
          <t>CPM руб</t>
        </is>
      </c>
      <c r="D4" s="4" t="inlineStr">
        <is>
          <t>CTR / CPC</t>
        </is>
      </c>
      <c r="E4" s="4" t="inlineStr">
        <is>
          <t>CR Install%</t>
        </is>
      </c>
      <c r="F4" s="4" t="inlineStr">
        <is>
          <t>Охват/клики</t>
        </is>
      </c>
      <c r="G4" s="4" t="inlineStr">
        <is>
          <t>Установки/мес</t>
        </is>
      </c>
      <c r="H4" s="4" t="inlineStr">
        <is>
          <t>CPI руб</t>
        </is>
      </c>
      <c r="I4" s="4" t="inlineStr">
        <is>
          <t>Примечание</t>
        </is>
      </c>
    </row>
    <row r="5" ht="20" customHeight="1">
      <c r="A5" s="5" t="inlineStr">
        <is>
          <t>Instagram (таргет)</t>
        </is>
      </c>
      <c r="B5" s="6" t="n">
        <v>50000</v>
      </c>
      <c r="C5" s="6" t="n">
        <v>600</v>
      </c>
      <c r="D5" s="8" t="n">
        <v>0.015</v>
      </c>
      <c r="E5" s="8" t="n">
        <v>0.025</v>
      </c>
      <c r="F5" s="18">
        <f>ROUND(B5/C5*1000,0)</f>
        <v/>
      </c>
      <c r="G5" s="18">
        <f>ROUND(F5*D5*E5,0)</f>
        <v/>
      </c>
      <c r="H5" s="12">
        <f>IFERROR(B5/G5,0)</f>
        <v/>
      </c>
      <c r="I5" s="2" t="inlineStr">
        <is>
          <t>CPM-модель</t>
        </is>
      </c>
    </row>
    <row r="6" ht="20" customHeight="1">
      <c r="A6" s="5" t="inlineStr">
        <is>
          <t>Telegram (посевы)</t>
        </is>
      </c>
      <c r="B6" s="6" t="n">
        <v>30000</v>
      </c>
      <c r="C6" s="6" t="n">
        <v>300</v>
      </c>
      <c r="D6" s="8" t="n">
        <v>0.025</v>
      </c>
      <c r="E6" s="8" t="n">
        <v>0.035</v>
      </c>
      <c r="F6" s="18">
        <f>ROUND(B6/C6*1000,0)</f>
        <v/>
      </c>
      <c r="G6" s="18">
        <f>ROUND(F6*D6*E6,0)</f>
        <v/>
      </c>
      <c r="H6" s="12">
        <f>IFERROR(B6/G6,0)</f>
        <v/>
      </c>
      <c r="I6" s="2" t="inlineStr">
        <is>
          <t>CPM-модель</t>
        </is>
      </c>
    </row>
    <row r="7" ht="20" customHeight="1">
      <c r="A7" s="5" t="inlineStr">
        <is>
          <t>ВКонтакте (таргет)</t>
        </is>
      </c>
      <c r="B7" s="6" t="n">
        <v>20000</v>
      </c>
      <c r="C7" s="6" t="n">
        <v>400</v>
      </c>
      <c r="D7" s="8" t="n">
        <v>0.012</v>
      </c>
      <c r="E7" s="8" t="n">
        <v>0.02</v>
      </c>
      <c r="F7" s="18">
        <f>ROUND(B7/C7*1000,0)</f>
        <v/>
      </c>
      <c r="G7" s="18">
        <f>ROUND(F7*D7*E7,0)</f>
        <v/>
      </c>
      <c r="H7" s="12">
        <f>IFERROR(B7/G7,0)</f>
        <v/>
      </c>
      <c r="I7" s="2" t="inlineStr">
        <is>
          <t>CPM-модель</t>
        </is>
      </c>
    </row>
    <row r="8" ht="20" customHeight="1">
      <c r="A8" s="5" t="inlineStr">
        <is>
          <t>Яндекс.Директ</t>
        </is>
      </c>
      <c r="B8" s="6" t="n">
        <v>15000</v>
      </c>
      <c r="C8" s="2" t="inlineStr">
        <is>
          <t>CPC</t>
        </is>
      </c>
      <c r="D8" s="6" t="n">
        <v>15</v>
      </c>
      <c r="E8" s="8" t="n">
        <v>0.04</v>
      </c>
      <c r="F8" s="18">
        <f>ROUND(B8/D8,0)</f>
        <v/>
      </c>
      <c r="G8" s="18">
        <f>ROUND(F8*E8,0)</f>
        <v/>
      </c>
      <c r="H8" s="12">
        <f>IFERROR(B8/G8,0)</f>
        <v/>
      </c>
      <c r="I8" s="2" t="inlineStr">
        <is>
          <t>CPC-модель</t>
        </is>
      </c>
    </row>
    <row r="9" ht="20" customHeight="1">
      <c r="A9" s="5" t="inlineStr">
        <is>
          <t>Инфлюенс-маркетинг</t>
        </is>
      </c>
      <c r="B9" s="6" t="n">
        <v>40000</v>
      </c>
      <c r="C9" s="2" t="inlineStr">
        <is>
          <t>CPI</t>
        </is>
      </c>
      <c r="D9" s="6" t="n">
        <v>17</v>
      </c>
      <c r="E9" t="inlineStr">
        <is>
          <t>—</t>
        </is>
      </c>
      <c r="F9" t="inlineStr">
        <is>
          <t>—</t>
        </is>
      </c>
      <c r="G9" s="18">
        <f>ROUND(IFERROR(B9/D9,0),0)</f>
        <v/>
      </c>
      <c r="H9" s="12">
        <f>D9</f>
        <v/>
      </c>
      <c r="I9" s="2" t="inlineStr">
        <is>
          <t>CPI≈17₽/устан. Блогеры: мамы, семья</t>
        </is>
      </c>
    </row>
    <row r="10" ht="20" customHeight="1">
      <c r="A10" s="5" t="inlineStr">
        <is>
          <t>Офлайн (плакаты/листовки)</t>
        </is>
      </c>
      <c r="B10" s="6" t="n">
        <v>25000</v>
      </c>
      <c r="C10" s="2" t="inlineStr">
        <is>
          <t>CPI</t>
        </is>
      </c>
      <c r="D10" s="6" t="n">
        <v>100</v>
      </c>
      <c r="E10" t="inlineStr">
        <is>
          <t>—</t>
        </is>
      </c>
      <c r="F10" t="inlineStr">
        <is>
          <t>—</t>
        </is>
      </c>
      <c r="G10" s="18">
        <f>ROUND(IFERROR(B10/D10,0),0)</f>
        <v/>
      </c>
      <c r="H10" s="12">
        <f>D10</f>
        <v/>
      </c>
      <c r="I10" s="2" t="inlineStr">
        <is>
          <t>CPI≈100₽. Сады, школы, педиатрия</t>
        </is>
      </c>
    </row>
    <row r="11" ht="20" customHeight="1">
      <c r="A11" s="5" t="inlineStr">
        <is>
          <t>Органика / реферал</t>
        </is>
      </c>
      <c r="B11" s="6" t="n">
        <v>0</v>
      </c>
      <c r="F11" t="inlineStr">
        <is>
          <t>—</t>
        </is>
      </c>
      <c r="G11" s="18">
        <f>ROUND((G5+G6+G7+G8+G9+G10)*0.20,0)</f>
        <v/>
      </c>
      <c r="H11" t="inlineStr">
        <is>
          <t>—</t>
        </is>
      </c>
      <c r="I11" s="2" t="inlineStr">
        <is>
          <t>20% от платных</t>
        </is>
      </c>
    </row>
    <row r="12" ht="20" customHeight="1">
      <c r="A12" s="19" t="inlineStr">
        <is>
          <t>ИТОГО / мес</t>
        </is>
      </c>
      <c r="B12" s="20">
        <f>SUM(B5:B11)</f>
        <v/>
      </c>
      <c r="G12" s="20">
        <f>SUM(G5:G11)</f>
        <v/>
      </c>
    </row>
    <row r="13" ht="22" customHeight="1">
      <c r="A13" s="13" t="inlineStr">
        <is>
          <t>CAC (стоимость 1 установки, руб)</t>
        </is>
      </c>
      <c r="B13" s="21">
        <f>IFERROR(B12/G12,0)</f>
        <v/>
      </c>
    </row>
    <row r="16" ht="22" customHeight="1">
      <c r="A16" s="3" t="inlineStr">
        <is>
          <t>🌊  ВОРОНКА КОНВЕРСИИ (Месяц 1)</t>
        </is>
      </c>
    </row>
    <row r="17">
      <c r="A17" s="4" t="inlineStr">
        <is>
          <t>Этап</t>
        </is>
      </c>
      <c r="B17" s="4" t="inlineStr">
        <is>
          <t>Кол-во</t>
        </is>
      </c>
      <c r="C17" s="4" t="inlineStr">
        <is>
          <t>Конверсия</t>
        </is>
      </c>
      <c r="D17" s="4" t="inlineStr">
        <is>
          <t>Потеря</t>
        </is>
      </c>
      <c r="E17" s="4" t="inlineStr">
        <is>
          <t>Стоимость этапа (руб)</t>
        </is>
      </c>
      <c r="F17" s="4" t="inlineStr">
        <is>
          <t>Комментарий</t>
        </is>
      </c>
    </row>
    <row r="18" ht="20" customHeight="1">
      <c r="A18" s="5" t="inlineStr">
        <is>
          <t>1. Установки</t>
        </is>
      </c>
      <c r="B18" s="18">
        <f>G12</f>
        <v/>
      </c>
      <c r="C18" t="inlineStr">
        <is>
          <t>—</t>
        </is>
      </c>
      <c r="D18" t="inlineStr">
        <is>
          <t>—</t>
        </is>
      </c>
      <c r="E18" s="18">
        <f>B12</f>
        <v/>
      </c>
      <c r="F18" s="2" t="inlineStr">
        <is>
          <t>Все каналы</t>
        </is>
      </c>
    </row>
    <row r="19" ht="20" customHeight="1">
      <c r="A19" s="5" t="inlineStr">
        <is>
          <t>2. Регистрации</t>
        </is>
      </c>
      <c r="B19" s="18">
        <f>ROUND(B18*'📊 Параметры'!H8,0)</f>
        <v/>
      </c>
      <c r="C19" s="22">
        <f>'📊 Параметры'!H8</f>
        <v/>
      </c>
      <c r="D19" s="18">
        <f>B18-B19</f>
        <v/>
      </c>
      <c r="E19" t="inlineStr">
        <is>
          <t>—</t>
        </is>
      </c>
      <c r="F19" s="2" t="inlineStr">
        <is>
          <t>Install→Reg</t>
        </is>
      </c>
    </row>
    <row r="20" ht="20" customHeight="1">
      <c r="A20" s="5" t="inlineStr">
        <is>
          <t>3. Free-активные</t>
        </is>
      </c>
      <c r="B20" s="18">
        <f>ROUND(B19*'📊 Параметры'!H9,0)</f>
        <v/>
      </c>
      <c r="C20" s="22">
        <f>'📊 Параметры'!H9</f>
        <v/>
      </c>
      <c r="D20" s="18">
        <f>B19-B20</f>
        <v/>
      </c>
      <c r="E20" t="inlineStr">
        <is>
          <t>—</t>
        </is>
      </c>
      <c r="F20" s="2" t="inlineStr">
        <is>
          <t>Reg→Activation</t>
        </is>
      </c>
    </row>
    <row r="21" ht="20" customHeight="1">
      <c r="A21" s="5" t="inlineStr">
        <is>
          <t>4. Новые Премиум</t>
        </is>
      </c>
      <c r="B21" s="18">
        <f>ROUND(B20*'📊 Параметры'!H10,0)</f>
        <v/>
      </c>
      <c r="C21" s="22">
        <f>'📊 Параметры'!H10</f>
        <v/>
      </c>
      <c r="D21" s="18">
        <f>B20-B21</f>
        <v/>
      </c>
      <c r="E21" t="inlineStr">
        <is>
          <t>—</t>
        </is>
      </c>
      <c r="F21" s="2" t="inlineStr">
        <is>
          <t>Free→Prem</t>
        </is>
      </c>
    </row>
    <row r="22" ht="20" customHeight="1">
      <c r="A22" s="5" t="inlineStr">
        <is>
          <t>5. Новые Семейный</t>
        </is>
      </c>
      <c r="B22" s="18">
        <f>ROUND(B20*'📊 Параметры'!H11,0)</f>
        <v/>
      </c>
      <c r="C22" s="22">
        <f>'📊 Параметры'!H11</f>
        <v/>
      </c>
      <c r="D22" t="inlineStr">
        <is>
          <t>—</t>
        </is>
      </c>
      <c r="E22" t="inlineStr">
        <is>
          <t>—</t>
        </is>
      </c>
      <c r="F22" s="2" t="inlineStr">
        <is>
          <t>Free→Fam</t>
        </is>
      </c>
    </row>
    <row r="23" ht="20" customHeight="1">
      <c r="A23" s="5" t="inlineStr">
        <is>
          <t>6. Апгрейд Prem→Fam</t>
        </is>
      </c>
      <c r="B23" s="18">
        <f>ROUND(B21*'📊 Параметры'!H12,0)</f>
        <v/>
      </c>
      <c r="C23" s="22">
        <f>'📊 Параметры'!H12</f>
        <v/>
      </c>
      <c r="D23" t="inlineStr">
        <is>
          <t>—</t>
        </is>
      </c>
      <c r="E23" t="inlineStr">
        <is>
          <t>—</t>
        </is>
      </c>
      <c r="F23" s="2" t="inlineStr">
        <is>
          <t>Upgrade</t>
        </is>
      </c>
    </row>
  </sheetData>
  <mergeCells count="3">
    <mergeCell ref="A1:I1"/>
    <mergeCell ref="A16:F16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8" customWidth="1" min="4" max="4"/>
    <col width="35" customWidth="1" min="5" max="5"/>
  </cols>
  <sheetData>
    <row r="1" ht="35" customHeight="1">
      <c r="A1" s="23" t="inlineStr">
        <is>
          <t>СТРУКТУРА РАСХОДОВ — ЕЖЕМЕСЯЧНЫЕ ЗАТРАТЫ</t>
        </is>
      </c>
    </row>
    <row r="3" ht="22" customHeight="1">
      <c r="A3" s="3" t="inlineStr">
        <is>
          <t>👥  КОМАНДА  (ФОТ с налогами — коэффициент 1.35)</t>
        </is>
      </c>
    </row>
    <row r="4" ht="20" customHeight="1">
      <c r="A4" s="4" t="inlineStr">
        <is>
          <t>Роль</t>
        </is>
      </c>
      <c r="B4" s="4" t="inlineStr">
        <is>
          <t>Оклад руб/мес</t>
        </is>
      </c>
      <c r="C4" s="4" t="inlineStr">
        <is>
          <t>Кол-во</t>
        </is>
      </c>
      <c r="D4" s="4" t="inlineStr">
        <is>
          <t>С налогами (×1.35)</t>
        </is>
      </c>
      <c r="E4" s="4" t="inlineStr">
        <is>
          <t>Примечание</t>
        </is>
      </c>
    </row>
    <row r="5" ht="20" customHeight="1">
      <c r="A5" s="5" t="inlineStr">
        <is>
          <t>CEO / Product Manager</t>
        </is>
      </c>
      <c r="B5" s="6" t="n">
        <v>130000</v>
      </c>
      <c r="C5" s="6" t="n">
        <v>1</v>
      </c>
      <c r="D5" s="18">
        <f>B5*C5*1.35</f>
        <v/>
      </c>
      <c r="E5" s="2" t="inlineStr">
        <is>
          <t>Продукт, стратегия</t>
        </is>
      </c>
    </row>
    <row r="6" ht="20" customHeight="1">
      <c r="A6" s="5" t="inlineStr">
        <is>
          <t>Lead Backend Developer</t>
        </is>
      </c>
      <c r="B6" s="6" t="n">
        <v>160000</v>
      </c>
      <c r="C6" s="6" t="n">
        <v>1</v>
      </c>
      <c r="D6" s="18">
        <f>B6*C6*1.35</f>
        <v/>
      </c>
      <c r="E6" s="2" t="inlineStr">
        <is>
          <t>Node.js, Supabase</t>
        </is>
      </c>
    </row>
    <row r="7" ht="20" customHeight="1">
      <c r="A7" s="5" t="inlineStr">
        <is>
          <t>Frontend Developer</t>
        </is>
      </c>
      <c r="B7" s="6" t="n">
        <v>130000</v>
      </c>
      <c r="C7" s="6" t="n">
        <v>1</v>
      </c>
      <c r="D7" s="18">
        <f>B7*C7*1.35</f>
        <v/>
      </c>
      <c r="E7" s="2" t="inlineStr">
        <is>
          <t>React, Vite</t>
        </is>
      </c>
    </row>
    <row r="8" ht="20" customHeight="1">
      <c r="A8" s="5" t="inlineStr">
        <is>
          <t>UI/UX Designer</t>
        </is>
      </c>
      <c r="B8" s="6" t="n">
        <v>100000</v>
      </c>
      <c r="C8" s="6" t="n">
        <v>1</v>
      </c>
      <c r="D8" s="18">
        <f>B8*C8*1.35</f>
        <v/>
      </c>
      <c r="E8" s="2" t="inlineStr">
        <is>
          <t>Figma, иллюстрации</t>
        </is>
      </c>
    </row>
    <row r="9" ht="20" customHeight="1">
      <c r="A9" s="5" t="inlineStr">
        <is>
          <t>Маркетолог / SMM</t>
        </is>
      </c>
      <c r="B9" s="6" t="n">
        <v>90000</v>
      </c>
      <c r="C9" s="6" t="n">
        <v>1</v>
      </c>
      <c r="D9" s="18">
        <f>B9*C9*1.35</f>
        <v/>
      </c>
      <c r="E9" s="2" t="inlineStr">
        <is>
          <t>Instagram, Telegram</t>
        </is>
      </c>
    </row>
    <row r="10" ht="20" customHeight="1">
      <c r="A10" s="5" t="inlineStr">
        <is>
          <t>DevOps (part-time)</t>
        </is>
      </c>
      <c r="B10" s="6" t="n">
        <v>60000</v>
      </c>
      <c r="C10" s="6" t="n">
        <v>1</v>
      </c>
      <c r="D10" s="18">
        <f>B10*C10*1.35</f>
        <v/>
      </c>
      <c r="E10" s="2" t="inlineStr">
        <is>
          <t>Render.com, CI/CD</t>
        </is>
      </c>
    </row>
    <row r="11" ht="20" customHeight="1">
      <c r="A11" s="5" t="inlineStr">
        <is>
          <t>Контент-менеджер</t>
        </is>
      </c>
      <c r="B11" s="6" t="n">
        <v>70000</v>
      </c>
      <c r="C11" s="6" t="n">
        <v>1</v>
      </c>
      <c r="D11" s="18">
        <f>B11*C11*1.35</f>
        <v/>
      </c>
      <c r="E11" s="2" t="inlineStr">
        <is>
          <t>Тексты, коммьюнити</t>
        </is>
      </c>
    </row>
    <row r="12" ht="20" customHeight="1">
      <c r="A12" s="19" t="inlineStr">
        <is>
          <t>ИТОГО ФОТ (с налогами)</t>
        </is>
      </c>
      <c r="D12" s="20">
        <f>SUM(D5:D11)</f>
        <v/>
      </c>
    </row>
    <row r="14" ht="22" customHeight="1">
      <c r="A14" s="3" t="inlineStr">
        <is>
          <t>🖥️  ИНФРАСТРУКТУРА И ИНСТРУМЕНТЫ</t>
        </is>
      </c>
    </row>
    <row r="15" ht="20" customHeight="1">
      <c r="A15" s="4" t="inlineStr">
        <is>
          <t>Сервис</t>
        </is>
      </c>
      <c r="B15" s="4" t="inlineStr">
        <is>
          <t>USD/мес</t>
        </is>
      </c>
      <c r="C15" s="4" t="inlineStr">
        <is>
          <t>Курс</t>
        </is>
      </c>
      <c r="D15" s="4" t="inlineStr">
        <is>
          <t>RUB/мес</t>
        </is>
      </c>
      <c r="E15" s="4" t="inlineStr">
        <is>
          <t>Назначение</t>
        </is>
      </c>
    </row>
    <row r="16" ht="20" customHeight="1">
      <c r="A16" s="5" t="inlineStr">
        <is>
          <t>Render.com (Backend + Frontend)</t>
        </is>
      </c>
      <c r="B16" s="24" t="n">
        <v>50</v>
      </c>
      <c r="C16" s="18">
        <f>'📊 Параметры'!B26</f>
        <v/>
      </c>
      <c r="D16" s="18">
        <f>B16*C16</f>
        <v/>
      </c>
      <c r="E16" s="2" t="inlineStr">
        <is>
          <t>Хостинг</t>
        </is>
      </c>
    </row>
    <row r="17" ht="20" customHeight="1">
      <c r="A17" s="5" t="inlineStr">
        <is>
          <t>Supabase Pro</t>
        </is>
      </c>
      <c r="B17" s="24" t="n">
        <v>25</v>
      </c>
      <c r="C17" s="18">
        <f>'📊 Параметры'!B26</f>
        <v/>
      </c>
      <c r="D17" s="18">
        <f>B17*C17</f>
        <v/>
      </c>
      <c r="E17" s="2" t="inlineStr">
        <is>
          <t>БД + Auth + Storage</t>
        </is>
      </c>
    </row>
    <row r="18" ht="20" customHeight="1">
      <c r="A18" s="5" t="inlineStr">
        <is>
          <t>Groq API (LLM истории)</t>
        </is>
      </c>
      <c r="B18" s="24" t="n">
        <v>30</v>
      </c>
      <c r="C18" s="18">
        <f>'📊 Параметры'!B26</f>
        <v/>
      </c>
      <c r="D18" s="18">
        <f>B18*C18</f>
        <v/>
      </c>
      <c r="E18" s="2" t="inlineStr">
        <is>
          <t>Генерация историй</t>
        </is>
      </c>
    </row>
    <row r="19" ht="20" customHeight="1">
      <c r="A19" s="5" t="inlineStr">
        <is>
          <t>Pollinations / AI Images</t>
        </is>
      </c>
      <c r="B19" s="24" t="n">
        <v>20</v>
      </c>
      <c r="C19" s="18">
        <f>'📊 Параметры'!B26</f>
        <v/>
      </c>
      <c r="D19" s="18">
        <f>B19*C19</f>
        <v/>
      </c>
      <c r="E19" s="2" t="inlineStr">
        <is>
          <t>Иллюстрации</t>
        </is>
      </c>
    </row>
    <row r="20" ht="20" customHeight="1">
      <c r="A20" s="5" t="inlineStr">
        <is>
          <t>Resend (Email транзакц.)</t>
        </is>
      </c>
      <c r="B20" s="24" t="n">
        <v>10</v>
      </c>
      <c r="C20" s="18">
        <f>'📊 Параметры'!B26</f>
        <v/>
      </c>
      <c r="D20" s="18">
        <f>B20*C20</f>
        <v/>
      </c>
      <c r="E20" s="2" t="inlineStr">
        <is>
          <t>Сброс пароля, нотиф.</t>
        </is>
      </c>
    </row>
    <row r="21" ht="20" customHeight="1">
      <c r="A21" s="5" t="inlineStr">
        <is>
          <t>Cloudflare CDN</t>
        </is>
      </c>
      <c r="B21" s="24" t="n">
        <v>10</v>
      </c>
      <c r="C21" s="18">
        <f>'📊 Параметры'!B26</f>
        <v/>
      </c>
      <c r="D21" s="18">
        <f>B21*C21</f>
        <v/>
      </c>
      <c r="E21" s="2" t="inlineStr">
        <is>
          <t>CDN + DDoS</t>
        </is>
      </c>
    </row>
    <row r="22" ht="20" customHeight="1">
      <c r="A22" s="5" t="inlineStr">
        <is>
          <t>Sentry (мониторинг ошибок)</t>
        </is>
      </c>
      <c r="B22" s="24" t="n">
        <v>15</v>
      </c>
      <c r="C22" s="18">
        <f>'📊 Параметры'!B26</f>
        <v/>
      </c>
      <c r="D22" s="18">
        <f>B22*C22</f>
        <v/>
      </c>
      <c r="E22" s="2" t="inlineStr">
        <is>
          <t>Error tracking</t>
        </is>
      </c>
    </row>
    <row r="23" ht="20" customHeight="1">
      <c r="A23" s="5" t="inlineStr">
        <is>
          <t>GitHub + CI/CD Actions</t>
        </is>
      </c>
      <c r="B23" s="24" t="n">
        <v>10</v>
      </c>
      <c r="C23" s="18">
        <f>'📊 Параметры'!B26</f>
        <v/>
      </c>
      <c r="D23" s="18">
        <f>B23*C23</f>
        <v/>
      </c>
      <c r="E23" s="2" t="inlineStr">
        <is>
          <t>Репозиторий</t>
        </is>
      </c>
    </row>
    <row r="24" ht="20" customHeight="1">
      <c r="A24" s="5" t="inlineStr">
        <is>
          <t>Figma Team</t>
        </is>
      </c>
      <c r="B24" s="24" t="n">
        <v>15</v>
      </c>
      <c r="C24" s="18">
        <f>'📊 Параметры'!B26</f>
        <v/>
      </c>
      <c r="D24" s="18">
        <f>B24*C24</f>
        <v/>
      </c>
      <c r="E24" s="2" t="inlineStr">
        <is>
          <t>Дизайн</t>
        </is>
      </c>
    </row>
    <row r="25" ht="20" customHeight="1">
      <c r="A25" s="5" t="inlineStr">
        <is>
          <t>Notion / Linear</t>
        </is>
      </c>
      <c r="B25" s="24" t="n">
        <v>10</v>
      </c>
      <c r="C25" s="18">
        <f>'📊 Параметры'!B26</f>
        <v/>
      </c>
      <c r="D25" s="18">
        <f>B25*C25</f>
        <v/>
      </c>
      <c r="E25" s="2" t="inlineStr">
        <is>
          <t>Управление проектом</t>
        </is>
      </c>
    </row>
    <row r="26" ht="20" customHeight="1">
      <c r="A26" s="5" t="inlineStr">
        <is>
          <t>Apple Developer ($99/год)</t>
        </is>
      </c>
      <c r="B26" s="24" t="n">
        <v>9</v>
      </c>
      <c r="C26" s="18">
        <f>'📊 Параметры'!B26</f>
        <v/>
      </c>
      <c r="D26" s="18">
        <f>B26*C26</f>
        <v/>
      </c>
      <c r="E26" s="2" t="inlineStr">
        <is>
          <t>$99/12 ≈ $9/мес</t>
        </is>
      </c>
    </row>
    <row r="27" ht="20" customHeight="1">
      <c r="A27" s="5" t="inlineStr">
        <is>
          <t>Google Play ($25 one-time)</t>
        </is>
      </c>
      <c r="B27" s="24" t="n">
        <v>2</v>
      </c>
      <c r="C27" s="18">
        <f>'📊 Параметры'!B26</f>
        <v/>
      </c>
      <c r="D27" s="18">
        <f>B27*C27</f>
        <v/>
      </c>
      <c r="E27" s="2" t="inlineStr">
        <is>
          <t>Амортизация</t>
        </is>
      </c>
    </row>
    <row r="28" ht="20" customHeight="1">
      <c r="A28" s="5" t="inlineStr">
        <is>
          <t>Прочие SaaS / аналитика</t>
        </is>
      </c>
      <c r="B28" s="24" t="n">
        <v>20</v>
      </c>
      <c r="C28" s="18">
        <f>'📊 Параметры'!B26</f>
        <v/>
      </c>
      <c r="D28" s="18">
        <f>B28*C28</f>
        <v/>
      </c>
      <c r="E28" s="2" t="inlineStr">
        <is>
          <t>Amplitude, Hotjar</t>
        </is>
      </c>
    </row>
    <row r="29" ht="20" customHeight="1">
      <c r="A29" s="19" t="inlineStr">
        <is>
          <t>ИТОГО Инфраструктура</t>
        </is>
      </c>
      <c r="D29" s="20">
        <f>SUM(D16:D28)</f>
        <v/>
      </c>
    </row>
    <row r="31" ht="22" customHeight="1">
      <c r="A31" s="3" t="inlineStr">
        <is>
          <t>📋  АДМИНИСТРАТИВНЫЕ И ЮРИДИЧЕСКИЕ РАСХОДЫ</t>
        </is>
      </c>
    </row>
    <row r="32">
      <c r="A32" s="4" t="inlineStr">
        <is>
          <t>Статья</t>
        </is>
      </c>
      <c r="B32" s="4" t="inlineStr">
        <is>
          <t>RUB/мес</t>
        </is>
      </c>
      <c r="E32" s="4" t="inlineStr">
        <is>
          <t>Примечание</t>
        </is>
      </c>
    </row>
    <row r="33" ht="20" customHeight="1">
      <c r="A33" s="5" t="inlineStr">
        <is>
          <t>ИП/ООО — аутсорс-бухгалтерия</t>
        </is>
      </c>
      <c r="B33" s="6" t="n">
        <v>10000</v>
      </c>
      <c r="E33" s="2" t="inlineStr">
        <is>
          <t>Ежемесячно</t>
        </is>
      </c>
    </row>
    <row r="34" ht="20" customHeight="1">
      <c r="A34" s="5" t="inlineStr">
        <is>
          <t>Юридические услуги</t>
        </is>
      </c>
      <c r="B34" s="6" t="n">
        <v>5000</v>
      </c>
      <c r="E34" s="2" t="inlineStr">
        <is>
          <t>Договоры, оферта</t>
        </is>
      </c>
    </row>
    <row r="35" ht="20" customHeight="1">
      <c r="A35" s="5" t="inlineStr">
        <is>
          <t>Банковское обслуживание + эквайринг</t>
        </is>
      </c>
      <c r="B35" s="6" t="n">
        <v>3000</v>
      </c>
      <c r="E35" s="2" t="inlineStr">
        <is>
          <t>Комиссии</t>
        </is>
      </c>
    </row>
    <row r="36" ht="20" customHeight="1">
      <c r="A36" s="5" t="inlineStr">
        <is>
          <t>Офис / коворкинг</t>
        </is>
      </c>
      <c r="B36" s="6" t="n">
        <v>15000</v>
      </c>
      <c r="E36" s="2" t="inlineStr">
        <is>
          <t>Рабочее пространство</t>
        </is>
      </c>
    </row>
    <row r="37" ht="20" customHeight="1">
      <c r="A37" s="5" t="inlineStr">
        <is>
          <t>Корпоративная связь</t>
        </is>
      </c>
      <c r="B37" s="6" t="n">
        <v>3000</v>
      </c>
      <c r="E37" s="2" t="inlineStr">
        <is>
          <t>Телефония, интернет</t>
        </is>
      </c>
    </row>
    <row r="38" ht="20" customHeight="1">
      <c r="A38" s="5" t="inlineStr">
        <is>
          <t>Прочие адм. расходы</t>
        </is>
      </c>
      <c r="B38" s="6" t="n">
        <v>5000</v>
      </c>
      <c r="E38" s="2" t="inlineStr">
        <is>
          <t>Командировки, канцелярия</t>
        </is>
      </c>
    </row>
    <row r="39" ht="20" customHeight="1">
      <c r="A39" s="19" t="inlineStr">
        <is>
          <t>ИТОГО Административные</t>
        </is>
      </c>
      <c r="B39" s="20">
        <f>SUM(B33:B38)</f>
        <v/>
      </c>
    </row>
    <row r="41" ht="28" customHeight="1">
      <c r="A41" s="25" t="inlineStr">
        <is>
          <t>📌  ИТОГО ПОСТОЯННЫЕ РАСХОДЫ (без маркетинга и AI)</t>
        </is>
      </c>
      <c r="D41" s="26">
        <f>D12+D29+B39</f>
        <v/>
      </c>
    </row>
  </sheetData>
  <mergeCells count="5">
    <mergeCell ref="A41:C41"/>
    <mergeCell ref="A1:E1"/>
    <mergeCell ref="A14:E14"/>
    <mergeCell ref="A31:E3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Y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5" customHeight="1">
      <c r="A1" s="27" t="inlineStr">
        <is>
          <t>ОТЧЁТ О ПРИБЫЛЯХ И УБЫТКАХ — 24 МЕСЯЦА</t>
        </is>
      </c>
    </row>
    <row r="2" ht="22" customHeight="1">
      <c r="A2" s="28" t="inlineStr">
        <is>
          <t>Показатель</t>
        </is>
      </c>
      <c r="B2" s="29" t="inlineStr">
        <is>
          <t>М1</t>
        </is>
      </c>
      <c r="C2" s="29" t="inlineStr">
        <is>
          <t>М2</t>
        </is>
      </c>
      <c r="D2" s="29" t="inlineStr">
        <is>
          <t>М3</t>
        </is>
      </c>
      <c r="E2" s="29" t="inlineStr">
        <is>
          <t>М4</t>
        </is>
      </c>
      <c r="F2" s="29" t="inlineStr">
        <is>
          <t>М5</t>
        </is>
      </c>
      <c r="G2" s="29" t="inlineStr">
        <is>
          <t>М6</t>
        </is>
      </c>
      <c r="H2" s="29" t="inlineStr">
        <is>
          <t>М7</t>
        </is>
      </c>
      <c r="I2" s="29" t="inlineStr">
        <is>
          <t>М8</t>
        </is>
      </c>
      <c r="J2" s="29" t="inlineStr">
        <is>
          <t>М9</t>
        </is>
      </c>
      <c r="K2" s="29" t="inlineStr">
        <is>
          <t>М10</t>
        </is>
      </c>
      <c r="L2" s="29" t="inlineStr">
        <is>
          <t>М11</t>
        </is>
      </c>
      <c r="M2" s="29" t="inlineStr">
        <is>
          <t>М12</t>
        </is>
      </c>
      <c r="N2" s="29" t="inlineStr">
        <is>
          <t>М13</t>
        </is>
      </c>
      <c r="O2" s="29" t="inlineStr">
        <is>
          <t>М14</t>
        </is>
      </c>
      <c r="P2" s="29" t="inlineStr">
        <is>
          <t>М15</t>
        </is>
      </c>
      <c r="Q2" s="29" t="inlineStr">
        <is>
          <t>М16</t>
        </is>
      </c>
      <c r="R2" s="29" t="inlineStr">
        <is>
          <t>М17</t>
        </is>
      </c>
      <c r="S2" s="29" t="inlineStr">
        <is>
          <t>М18</t>
        </is>
      </c>
      <c r="T2" s="29" t="inlineStr">
        <is>
          <t>М19</t>
        </is>
      </c>
      <c r="U2" s="29" t="inlineStr">
        <is>
          <t>М20</t>
        </is>
      </c>
      <c r="V2" s="29" t="inlineStr">
        <is>
          <t>М21</t>
        </is>
      </c>
      <c r="W2" s="29" t="inlineStr">
        <is>
          <t>М22</t>
        </is>
      </c>
      <c r="X2" s="29" t="inlineStr">
        <is>
          <t>М23</t>
        </is>
      </c>
      <c r="Y2" s="29" t="inlineStr">
        <is>
          <t>М24</t>
        </is>
      </c>
    </row>
    <row r="3" ht="20" customHeight="1">
      <c r="A3" s="30" t="inlineStr">
        <is>
          <t>👥  ПОЛЬЗОВАТЕЛИ</t>
        </is>
      </c>
    </row>
    <row r="4" ht="18" customHeight="1">
      <c r="A4" s="31" t="inlineStr">
        <is>
          <t>Новые установки</t>
        </is>
      </c>
      <c r="B4" s="32">
        <f>'📊 Параметры'!H6</f>
        <v/>
      </c>
      <c r="C4" s="32">
        <f>ROUND(B4*(1+'📊 Параметры'!H7),0)</f>
        <v/>
      </c>
      <c r="D4" s="32">
        <f>ROUND(C4*(1+'📊 Параметры'!H7),0)</f>
        <v/>
      </c>
      <c r="E4" s="32">
        <f>ROUND(D4*(1+'📊 Параметры'!H7),0)</f>
        <v/>
      </c>
      <c r="F4" s="32">
        <f>ROUND(E4*(1+'📊 Параметры'!H7),0)</f>
        <v/>
      </c>
      <c r="G4" s="32">
        <f>ROUND(F4*(1+'📊 Параметры'!H7),0)</f>
        <v/>
      </c>
      <c r="H4" s="32">
        <f>ROUND(G4*(1+'📊 Параметры'!H7),0)</f>
        <v/>
      </c>
      <c r="I4" s="32">
        <f>ROUND(H4*(1+'📊 Параметры'!H7),0)</f>
        <v/>
      </c>
      <c r="J4" s="32">
        <f>ROUND(I4*(1+'📊 Параметры'!H7),0)</f>
        <v/>
      </c>
      <c r="K4" s="32">
        <f>ROUND(J4*(1+'📊 Параметры'!H7),0)</f>
        <v/>
      </c>
      <c r="L4" s="32">
        <f>ROUND(K4*(1+'📊 Параметры'!H7),0)</f>
        <v/>
      </c>
      <c r="M4" s="32">
        <f>ROUND(L4*(1+'📊 Параметры'!H7),0)</f>
        <v/>
      </c>
      <c r="N4" s="32">
        <f>ROUND(M4*(1+'📊 Параметры'!H7),0)</f>
        <v/>
      </c>
      <c r="O4" s="32">
        <f>ROUND(N4*(1+'📊 Параметры'!H7),0)</f>
        <v/>
      </c>
      <c r="P4" s="32">
        <f>ROUND(O4*(1+'📊 Параметры'!H7),0)</f>
        <v/>
      </c>
      <c r="Q4" s="32">
        <f>ROUND(P4*(1+'📊 Параметры'!H7),0)</f>
        <v/>
      </c>
      <c r="R4" s="32">
        <f>ROUND(Q4*(1+'📊 Параметры'!H7),0)</f>
        <v/>
      </c>
      <c r="S4" s="32">
        <f>ROUND(R4*(1+'📊 Параметры'!H7),0)</f>
        <v/>
      </c>
      <c r="T4" s="32">
        <f>ROUND(S4*(1+'📊 Параметры'!H7),0)</f>
        <v/>
      </c>
      <c r="U4" s="32">
        <f>ROUND(T4*(1+'📊 Параметры'!H7),0)</f>
        <v/>
      </c>
      <c r="V4" s="32">
        <f>ROUND(U4*(1+'📊 Параметры'!H7),0)</f>
        <v/>
      </c>
      <c r="W4" s="32">
        <f>ROUND(V4*(1+'📊 Параметры'!H7),0)</f>
        <v/>
      </c>
      <c r="X4" s="32">
        <f>ROUND(W4*(1+'📊 Параметры'!H7),0)</f>
        <v/>
      </c>
      <c r="Y4" s="32">
        <f>ROUND(X4*(1+'📊 Параметры'!H7),0)</f>
        <v/>
      </c>
    </row>
    <row r="5" ht="18" customHeight="1">
      <c r="A5" s="31" t="inlineStr">
        <is>
          <t>Новые регистрации</t>
        </is>
      </c>
      <c r="B5" s="32">
        <f>ROUND(B4*'📊 Параметры'!H8,0)</f>
        <v/>
      </c>
      <c r="C5" s="32">
        <f>ROUND(C4*'📊 Параметры'!H8,0)</f>
        <v/>
      </c>
      <c r="D5" s="32">
        <f>ROUND(D4*'📊 Параметры'!H8,0)</f>
        <v/>
      </c>
      <c r="E5" s="32">
        <f>ROUND(E4*'📊 Параметры'!H8,0)</f>
        <v/>
      </c>
      <c r="F5" s="32">
        <f>ROUND(F4*'📊 Параметры'!H8,0)</f>
        <v/>
      </c>
      <c r="G5" s="32">
        <f>ROUND(G4*'📊 Параметры'!H8,0)</f>
        <v/>
      </c>
      <c r="H5" s="32">
        <f>ROUND(H4*'📊 Параметры'!H8,0)</f>
        <v/>
      </c>
      <c r="I5" s="32">
        <f>ROUND(I4*'📊 Параметры'!H8,0)</f>
        <v/>
      </c>
      <c r="J5" s="32">
        <f>ROUND(J4*'📊 Параметры'!H8,0)</f>
        <v/>
      </c>
      <c r="K5" s="32">
        <f>ROUND(K4*'📊 Параметры'!H8,0)</f>
        <v/>
      </c>
      <c r="L5" s="32">
        <f>ROUND(L4*'📊 Параметры'!H8,0)</f>
        <v/>
      </c>
      <c r="M5" s="32">
        <f>ROUND(M4*'📊 Параметры'!H8,0)</f>
        <v/>
      </c>
      <c r="N5" s="32">
        <f>ROUND(N4*'📊 Параметры'!H8,0)</f>
        <v/>
      </c>
      <c r="O5" s="32">
        <f>ROUND(O4*'📊 Параметры'!H8,0)</f>
        <v/>
      </c>
      <c r="P5" s="32">
        <f>ROUND(P4*'📊 Параметры'!H8,0)</f>
        <v/>
      </c>
      <c r="Q5" s="32">
        <f>ROUND(Q4*'📊 Параметры'!H8,0)</f>
        <v/>
      </c>
      <c r="R5" s="32">
        <f>ROUND(R4*'📊 Параметры'!H8,0)</f>
        <v/>
      </c>
      <c r="S5" s="32">
        <f>ROUND(S4*'📊 Параметры'!H8,0)</f>
        <v/>
      </c>
      <c r="T5" s="32">
        <f>ROUND(T4*'📊 Параметры'!H8,0)</f>
        <v/>
      </c>
      <c r="U5" s="32">
        <f>ROUND(U4*'📊 Параметры'!H8,0)</f>
        <v/>
      </c>
      <c r="V5" s="32">
        <f>ROUND(V4*'📊 Параметры'!H8,0)</f>
        <v/>
      </c>
      <c r="W5" s="32">
        <f>ROUND(W4*'📊 Параметры'!H8,0)</f>
        <v/>
      </c>
      <c r="X5" s="32">
        <f>ROUND(X4*'📊 Параметры'!H8,0)</f>
        <v/>
      </c>
      <c r="Y5" s="32">
        <f>ROUND(Y4*'📊 Параметры'!H8,0)</f>
        <v/>
      </c>
    </row>
    <row r="6" ht="18" customHeight="1">
      <c r="A6" s="31" t="inlineStr">
        <is>
          <t>Новые Free-пользователи</t>
        </is>
      </c>
      <c r="B6" s="32">
        <f>ROUND(B5*'📊 Параметры'!H9,0)</f>
        <v/>
      </c>
      <c r="C6" s="32">
        <f>ROUND(C5*'📊 Параметры'!H9,0)</f>
        <v/>
      </c>
      <c r="D6" s="32">
        <f>ROUND(D5*'📊 Параметры'!H9,0)</f>
        <v/>
      </c>
      <c r="E6" s="32">
        <f>ROUND(E5*'📊 Параметры'!H9,0)</f>
        <v/>
      </c>
      <c r="F6" s="32">
        <f>ROUND(F5*'📊 Параметры'!H9,0)</f>
        <v/>
      </c>
      <c r="G6" s="32">
        <f>ROUND(G5*'📊 Параметры'!H9,0)</f>
        <v/>
      </c>
      <c r="H6" s="32">
        <f>ROUND(H5*'📊 Параметры'!H9,0)</f>
        <v/>
      </c>
      <c r="I6" s="32">
        <f>ROUND(I5*'📊 Параметры'!H9,0)</f>
        <v/>
      </c>
      <c r="J6" s="32">
        <f>ROUND(J5*'📊 Параметры'!H9,0)</f>
        <v/>
      </c>
      <c r="K6" s="32">
        <f>ROUND(K5*'📊 Параметры'!H9,0)</f>
        <v/>
      </c>
      <c r="L6" s="32">
        <f>ROUND(L5*'📊 Параметры'!H9,0)</f>
        <v/>
      </c>
      <c r="M6" s="32">
        <f>ROUND(M5*'📊 Параметры'!H9,0)</f>
        <v/>
      </c>
      <c r="N6" s="32">
        <f>ROUND(N5*'📊 Параметры'!H9,0)</f>
        <v/>
      </c>
      <c r="O6" s="32">
        <f>ROUND(O5*'📊 Параметры'!H9,0)</f>
        <v/>
      </c>
      <c r="P6" s="32">
        <f>ROUND(P5*'📊 Параметры'!H9,0)</f>
        <v/>
      </c>
      <c r="Q6" s="32">
        <f>ROUND(Q5*'📊 Параметры'!H9,0)</f>
        <v/>
      </c>
      <c r="R6" s="32">
        <f>ROUND(R5*'📊 Параметры'!H9,0)</f>
        <v/>
      </c>
      <c r="S6" s="32">
        <f>ROUND(S5*'📊 Параметры'!H9,0)</f>
        <v/>
      </c>
      <c r="T6" s="32">
        <f>ROUND(T5*'📊 Параметры'!H9,0)</f>
        <v/>
      </c>
      <c r="U6" s="32">
        <f>ROUND(U5*'📊 Параметры'!H9,0)</f>
        <v/>
      </c>
      <c r="V6" s="32">
        <f>ROUND(V5*'📊 Параметры'!H9,0)</f>
        <v/>
      </c>
      <c r="W6" s="32">
        <f>ROUND(W5*'📊 Параметры'!H9,0)</f>
        <v/>
      </c>
      <c r="X6" s="32">
        <f>ROUND(X5*'📊 Параметры'!H9,0)</f>
        <v/>
      </c>
      <c r="Y6" s="32">
        <f>ROUND(Y5*'📊 Параметры'!H9,0)</f>
        <v/>
      </c>
    </row>
    <row r="7" ht="18" customHeight="1">
      <c r="A7" s="31" t="inlineStr">
        <is>
          <t>Новые Премиум (мес)</t>
        </is>
      </c>
      <c r="B7" s="32">
        <f>ROUND(B6*'📊 Параметры'!H10,0)</f>
        <v/>
      </c>
      <c r="C7" s="32">
        <f>ROUND(C6*'📊 Параметры'!H10,0)</f>
        <v/>
      </c>
      <c r="D7" s="32">
        <f>ROUND(D6*'📊 Параметры'!H10,0)</f>
        <v/>
      </c>
      <c r="E7" s="32">
        <f>ROUND(E6*'📊 Параметры'!H10,0)</f>
        <v/>
      </c>
      <c r="F7" s="32">
        <f>ROUND(F6*'📊 Параметры'!H10,0)</f>
        <v/>
      </c>
      <c r="G7" s="32">
        <f>ROUND(G6*'📊 Параметры'!H10,0)</f>
        <v/>
      </c>
      <c r="H7" s="32">
        <f>ROUND(H6*'📊 Параметры'!H10,0)</f>
        <v/>
      </c>
      <c r="I7" s="32">
        <f>ROUND(I6*'📊 Параметры'!H10,0)</f>
        <v/>
      </c>
      <c r="J7" s="32">
        <f>ROUND(J6*'📊 Параметры'!H10,0)</f>
        <v/>
      </c>
      <c r="K7" s="32">
        <f>ROUND(K6*'📊 Параметры'!H10,0)</f>
        <v/>
      </c>
      <c r="L7" s="32">
        <f>ROUND(L6*'📊 Параметры'!H10,0)</f>
        <v/>
      </c>
      <c r="M7" s="32">
        <f>ROUND(M6*'📊 Параметры'!H10,0)</f>
        <v/>
      </c>
      <c r="N7" s="32">
        <f>ROUND(N6*'📊 Параметры'!H10,0)</f>
        <v/>
      </c>
      <c r="O7" s="32">
        <f>ROUND(O6*'📊 Параметры'!H10,0)</f>
        <v/>
      </c>
      <c r="P7" s="32">
        <f>ROUND(P6*'📊 Параметры'!H10,0)</f>
        <v/>
      </c>
      <c r="Q7" s="32">
        <f>ROUND(Q6*'📊 Параметры'!H10,0)</f>
        <v/>
      </c>
      <c r="R7" s="32">
        <f>ROUND(R6*'📊 Параметры'!H10,0)</f>
        <v/>
      </c>
      <c r="S7" s="32">
        <f>ROUND(S6*'📊 Параметры'!H10,0)</f>
        <v/>
      </c>
      <c r="T7" s="32">
        <f>ROUND(T6*'📊 Параметры'!H10,0)</f>
        <v/>
      </c>
      <c r="U7" s="32">
        <f>ROUND(U6*'📊 Параметры'!H10,0)</f>
        <v/>
      </c>
      <c r="V7" s="32">
        <f>ROUND(V6*'📊 Параметры'!H10,0)</f>
        <v/>
      </c>
      <c r="W7" s="32">
        <f>ROUND(W6*'📊 Параметры'!H10,0)</f>
        <v/>
      </c>
      <c r="X7" s="32">
        <f>ROUND(X6*'📊 Параметры'!H10,0)</f>
        <v/>
      </c>
      <c r="Y7" s="32">
        <f>ROUND(Y6*'📊 Параметры'!H10,0)</f>
        <v/>
      </c>
    </row>
    <row r="8" ht="18" customHeight="1">
      <c r="A8" s="31" t="inlineStr">
        <is>
          <t>Новые Семейный (мес)</t>
        </is>
      </c>
      <c r="B8" s="32">
        <f>ROUND(B6*'📊 Параметры'!H11,0)</f>
        <v/>
      </c>
      <c r="C8" s="32">
        <f>ROUND(C6*'📊 Параметры'!H11,0)</f>
        <v/>
      </c>
      <c r="D8" s="32">
        <f>ROUND(D6*'📊 Параметры'!H11,0)</f>
        <v/>
      </c>
      <c r="E8" s="32">
        <f>ROUND(E6*'📊 Параметры'!H11,0)</f>
        <v/>
      </c>
      <c r="F8" s="32">
        <f>ROUND(F6*'📊 Параметры'!H11,0)</f>
        <v/>
      </c>
      <c r="G8" s="32">
        <f>ROUND(G6*'📊 Параметры'!H11,0)</f>
        <v/>
      </c>
      <c r="H8" s="32">
        <f>ROUND(H6*'📊 Параметры'!H11,0)</f>
        <v/>
      </c>
      <c r="I8" s="32">
        <f>ROUND(I6*'📊 Параметры'!H11,0)</f>
        <v/>
      </c>
      <c r="J8" s="32">
        <f>ROUND(J6*'📊 Параметры'!H11,0)</f>
        <v/>
      </c>
      <c r="K8" s="32">
        <f>ROUND(K6*'📊 Параметры'!H11,0)</f>
        <v/>
      </c>
      <c r="L8" s="32">
        <f>ROUND(L6*'📊 Параметры'!H11,0)</f>
        <v/>
      </c>
      <c r="M8" s="32">
        <f>ROUND(M6*'📊 Параметры'!H11,0)</f>
        <v/>
      </c>
      <c r="N8" s="32">
        <f>ROUND(N6*'📊 Параметры'!H11,0)</f>
        <v/>
      </c>
      <c r="O8" s="32">
        <f>ROUND(O6*'📊 Параметры'!H11,0)</f>
        <v/>
      </c>
      <c r="P8" s="32">
        <f>ROUND(P6*'📊 Параметры'!H11,0)</f>
        <v/>
      </c>
      <c r="Q8" s="32">
        <f>ROUND(Q6*'📊 Параметры'!H11,0)</f>
        <v/>
      </c>
      <c r="R8" s="32">
        <f>ROUND(R6*'📊 Параметры'!H11,0)</f>
        <v/>
      </c>
      <c r="S8" s="32">
        <f>ROUND(S6*'📊 Параметры'!H11,0)</f>
        <v/>
      </c>
      <c r="T8" s="32">
        <f>ROUND(T6*'📊 Параметры'!H11,0)</f>
        <v/>
      </c>
      <c r="U8" s="32">
        <f>ROUND(U6*'📊 Параметры'!H11,0)</f>
        <v/>
      </c>
      <c r="V8" s="32">
        <f>ROUND(V6*'📊 Параметры'!H11,0)</f>
        <v/>
      </c>
      <c r="W8" s="32">
        <f>ROUND(W6*'📊 Параметры'!H11,0)</f>
        <v/>
      </c>
      <c r="X8" s="32">
        <f>ROUND(X6*'📊 Параметры'!H11,0)</f>
        <v/>
      </c>
      <c r="Y8" s="32">
        <f>ROUND(Y6*'📊 Параметры'!H11,0)</f>
        <v/>
      </c>
    </row>
    <row r="9" ht="18" customHeight="1">
      <c r="A9" s="33" t="inlineStr">
        <is>
          <t>Активные Премиум (база)</t>
        </is>
      </c>
      <c r="B9" s="34">
        <f>B7</f>
        <v/>
      </c>
      <c r="C9" s="34">
        <f>ROUND(MAX(0,B9*(1-'📊 Параметры'!H13-'📊 Параметры'!H12)+C7),0)</f>
        <v/>
      </c>
      <c r="D9" s="34">
        <f>ROUND(MAX(0,C9*(1-'📊 Параметры'!H13-'📊 Параметры'!H12)+D7),0)</f>
        <v/>
      </c>
      <c r="E9" s="34">
        <f>ROUND(MAX(0,D9*(1-'📊 Параметры'!H13-'📊 Параметры'!H12)+E7),0)</f>
        <v/>
      </c>
      <c r="F9" s="34">
        <f>ROUND(MAX(0,E9*(1-'📊 Параметры'!H13-'📊 Параметры'!H12)+F7),0)</f>
        <v/>
      </c>
      <c r="G9" s="34">
        <f>ROUND(MAX(0,F9*(1-'📊 Параметры'!H13-'📊 Параметры'!H12)+G7),0)</f>
        <v/>
      </c>
      <c r="H9" s="34">
        <f>ROUND(MAX(0,G9*(1-'📊 Параметры'!H13-'📊 Параметры'!H12)+H7),0)</f>
        <v/>
      </c>
      <c r="I9" s="34">
        <f>ROUND(MAX(0,H9*(1-'📊 Параметры'!H13-'📊 Параметры'!H12)+I7),0)</f>
        <v/>
      </c>
      <c r="J9" s="34">
        <f>ROUND(MAX(0,I9*(1-'📊 Параметры'!H13-'📊 Параметры'!H12)+J7),0)</f>
        <v/>
      </c>
      <c r="K9" s="34">
        <f>ROUND(MAX(0,J9*(1-'📊 Параметры'!H13-'📊 Параметры'!H12)+K7),0)</f>
        <v/>
      </c>
      <c r="L9" s="34">
        <f>ROUND(MAX(0,K9*(1-'📊 Параметры'!H13-'📊 Параметры'!H12)+L7),0)</f>
        <v/>
      </c>
      <c r="M9" s="34">
        <f>ROUND(MAX(0,L9*(1-'📊 Параметры'!H13-'📊 Параметры'!H12)+M7),0)</f>
        <v/>
      </c>
      <c r="N9" s="34">
        <f>ROUND(MAX(0,M9*(1-'📊 Параметры'!H13-'📊 Параметры'!H12)+N7),0)</f>
        <v/>
      </c>
      <c r="O9" s="34">
        <f>ROUND(MAX(0,N9*(1-'📊 Параметры'!H13-'📊 Параметры'!H12)+O7),0)</f>
        <v/>
      </c>
      <c r="P9" s="34">
        <f>ROUND(MAX(0,O9*(1-'📊 Параметры'!H13-'📊 Параметры'!H12)+P7),0)</f>
        <v/>
      </c>
      <c r="Q9" s="34">
        <f>ROUND(MAX(0,P9*(1-'📊 Параметры'!H13-'📊 Параметры'!H12)+Q7),0)</f>
        <v/>
      </c>
      <c r="R9" s="34">
        <f>ROUND(MAX(0,Q9*(1-'📊 Параметры'!H13-'📊 Параметры'!H12)+R7),0)</f>
        <v/>
      </c>
      <c r="S9" s="34">
        <f>ROUND(MAX(0,R9*(1-'📊 Параметры'!H13-'📊 Параметры'!H12)+S7),0)</f>
        <v/>
      </c>
      <c r="T9" s="34">
        <f>ROUND(MAX(0,S9*(1-'📊 Параметры'!H13-'📊 Параметры'!H12)+T7),0)</f>
        <v/>
      </c>
      <c r="U9" s="34">
        <f>ROUND(MAX(0,T9*(1-'📊 Параметры'!H13-'📊 Параметры'!H12)+U7),0)</f>
        <v/>
      </c>
      <c r="V9" s="34">
        <f>ROUND(MAX(0,U9*(1-'📊 Параметры'!H13-'📊 Параметры'!H12)+V7),0)</f>
        <v/>
      </c>
      <c r="W9" s="34">
        <f>ROUND(MAX(0,V9*(1-'📊 Параметры'!H13-'📊 Параметры'!H12)+W7),0)</f>
        <v/>
      </c>
      <c r="X9" s="34">
        <f>ROUND(MAX(0,W9*(1-'📊 Параметры'!H13-'📊 Параметры'!H12)+X7),0)</f>
        <v/>
      </c>
      <c r="Y9" s="34">
        <f>ROUND(MAX(0,X9*(1-'📊 Параметры'!H13-'📊 Параметры'!H12)+Y7),0)</f>
        <v/>
      </c>
    </row>
    <row r="10" ht="18" customHeight="1">
      <c r="A10" s="35" t="inlineStr">
        <is>
          <t>Активные Семейный (база)</t>
        </is>
      </c>
      <c r="B10" s="36">
        <f>B8</f>
        <v/>
      </c>
      <c r="C10" s="36">
        <f>ROUND(MAX(0,B10*(1-'📊 Параметры'!H14)+C8+B9*'📊 Параметры'!H12),0)</f>
        <v/>
      </c>
      <c r="D10" s="36">
        <f>ROUND(MAX(0,C10*(1-'📊 Параметры'!H14)+D8+C9*'📊 Параметры'!H12),0)</f>
        <v/>
      </c>
      <c r="E10" s="36">
        <f>ROUND(MAX(0,D10*(1-'📊 Параметры'!H14)+E8+D9*'📊 Параметры'!H12),0)</f>
        <v/>
      </c>
      <c r="F10" s="36">
        <f>ROUND(MAX(0,E10*(1-'📊 Параметры'!H14)+F8+E9*'📊 Параметры'!H12),0)</f>
        <v/>
      </c>
      <c r="G10" s="36">
        <f>ROUND(MAX(0,F10*(1-'📊 Параметры'!H14)+G8+F9*'📊 Параметры'!H12),0)</f>
        <v/>
      </c>
      <c r="H10" s="36">
        <f>ROUND(MAX(0,G10*(1-'📊 Параметры'!H14)+H8+G9*'📊 Параметры'!H12),0)</f>
        <v/>
      </c>
      <c r="I10" s="36">
        <f>ROUND(MAX(0,H10*(1-'📊 Параметры'!H14)+I8+H9*'📊 Параметры'!H12),0)</f>
        <v/>
      </c>
      <c r="J10" s="36">
        <f>ROUND(MAX(0,I10*(1-'📊 Параметры'!H14)+J8+I9*'📊 Параметры'!H12),0)</f>
        <v/>
      </c>
      <c r="K10" s="36">
        <f>ROUND(MAX(0,J10*(1-'📊 Параметры'!H14)+K8+J9*'📊 Параметры'!H12),0)</f>
        <v/>
      </c>
      <c r="L10" s="36">
        <f>ROUND(MAX(0,K10*(1-'📊 Параметры'!H14)+L8+K9*'📊 Параметры'!H12),0)</f>
        <v/>
      </c>
      <c r="M10" s="36">
        <f>ROUND(MAX(0,L10*(1-'📊 Параметры'!H14)+M8+L9*'📊 Параметры'!H12),0)</f>
        <v/>
      </c>
      <c r="N10" s="36">
        <f>ROUND(MAX(0,M10*(1-'📊 Параметры'!H14)+N8+M9*'📊 Параметры'!H12),0)</f>
        <v/>
      </c>
      <c r="O10" s="36">
        <f>ROUND(MAX(0,N10*(1-'📊 Параметры'!H14)+O8+N9*'📊 Параметры'!H12),0)</f>
        <v/>
      </c>
      <c r="P10" s="36">
        <f>ROUND(MAX(0,O10*(1-'📊 Параметры'!H14)+P8+O9*'📊 Параметры'!H12),0)</f>
        <v/>
      </c>
      <c r="Q10" s="36">
        <f>ROUND(MAX(0,P10*(1-'📊 Параметры'!H14)+Q8+P9*'📊 Параметры'!H12),0)</f>
        <v/>
      </c>
      <c r="R10" s="36">
        <f>ROUND(MAX(0,Q10*(1-'📊 Параметры'!H14)+R8+Q9*'📊 Параметры'!H12),0)</f>
        <v/>
      </c>
      <c r="S10" s="36">
        <f>ROUND(MAX(0,R10*(1-'📊 Параметры'!H14)+S8+R9*'📊 Параметры'!H12),0)</f>
        <v/>
      </c>
      <c r="T10" s="36">
        <f>ROUND(MAX(0,S10*(1-'📊 Параметры'!H14)+T8+S9*'📊 Параметры'!H12),0)</f>
        <v/>
      </c>
      <c r="U10" s="36">
        <f>ROUND(MAX(0,T10*(1-'📊 Параметры'!H14)+U8+T9*'📊 Параметры'!H12),0)</f>
        <v/>
      </c>
      <c r="V10" s="36">
        <f>ROUND(MAX(0,U10*(1-'📊 Параметры'!H14)+V8+U9*'📊 Параметры'!H12),0)</f>
        <v/>
      </c>
      <c r="W10" s="36">
        <f>ROUND(MAX(0,V10*(1-'📊 Параметры'!H14)+W8+V9*'📊 Параметры'!H12),0)</f>
        <v/>
      </c>
      <c r="X10" s="36">
        <f>ROUND(MAX(0,W10*(1-'📊 Параметры'!H14)+X8+W9*'📊 Параметры'!H12),0)</f>
        <v/>
      </c>
      <c r="Y10" s="36">
        <f>ROUND(MAX(0,X10*(1-'📊 Параметры'!H14)+Y8+X9*'📊 Параметры'!H12),0)</f>
        <v/>
      </c>
    </row>
    <row r="11" ht="18" customHeight="1">
      <c r="A11" s="37" t="inlineStr">
        <is>
          <t>Всего платящих</t>
        </is>
      </c>
      <c r="B11" s="38">
        <f>B9+B10</f>
        <v/>
      </c>
      <c r="C11" s="38">
        <f>C9+C10</f>
        <v/>
      </c>
      <c r="D11" s="38">
        <f>D9+D10</f>
        <v/>
      </c>
      <c r="E11" s="38">
        <f>E9+E10</f>
        <v/>
      </c>
      <c r="F11" s="38">
        <f>F9+F10</f>
        <v/>
      </c>
      <c r="G11" s="38">
        <f>G9+G10</f>
        <v/>
      </c>
      <c r="H11" s="38">
        <f>H9+H10</f>
        <v/>
      </c>
      <c r="I11" s="38">
        <f>I9+I10</f>
        <v/>
      </c>
      <c r="J11" s="38">
        <f>J9+J10</f>
        <v/>
      </c>
      <c r="K11" s="38">
        <f>K9+K10</f>
        <v/>
      </c>
      <c r="L11" s="38">
        <f>L9+L10</f>
        <v/>
      </c>
      <c r="M11" s="38">
        <f>M9+M10</f>
        <v/>
      </c>
      <c r="N11" s="38">
        <f>N9+N10</f>
        <v/>
      </c>
      <c r="O11" s="38">
        <f>O9+O10</f>
        <v/>
      </c>
      <c r="P11" s="38">
        <f>P9+P10</f>
        <v/>
      </c>
      <c r="Q11" s="38">
        <f>Q9+Q10</f>
        <v/>
      </c>
      <c r="R11" s="38">
        <f>R9+R10</f>
        <v/>
      </c>
      <c r="S11" s="38">
        <f>S9+S10</f>
        <v/>
      </c>
      <c r="T11" s="38">
        <f>T9+T10</f>
        <v/>
      </c>
      <c r="U11" s="38">
        <f>U9+U10</f>
        <v/>
      </c>
      <c r="V11" s="38">
        <f>V9+V10</f>
        <v/>
      </c>
      <c r="W11" s="38">
        <f>W9+W10</f>
        <v/>
      </c>
      <c r="X11" s="38">
        <f>X9+X10</f>
        <v/>
      </c>
      <c r="Y11" s="38">
        <f>Y9+Y10</f>
        <v/>
      </c>
    </row>
    <row r="12" ht="20" customHeight="1">
      <c r="A12" s="30" t="inlineStr">
        <is>
          <t>💰  ВЫРУЧКА</t>
        </is>
      </c>
    </row>
    <row r="13" ht="18" customHeight="1">
      <c r="A13" s="31" t="inlineStr">
        <is>
          <t>Выручка Премиум (руб)</t>
        </is>
      </c>
      <c r="B13" s="32">
        <f>ROUND(B9*(1-'📊 Параметры'!H15)*'📊 Параметры'!C6+B9*'📊 Параметры'!H15*'📊 Параметры'!C7/12,0)</f>
        <v/>
      </c>
      <c r="C13" s="32">
        <f>ROUND(C9*(1-'📊 Параметры'!H15)*'📊 Параметры'!C6+C9*'📊 Параметры'!H15*'📊 Параметры'!C7/12,0)</f>
        <v/>
      </c>
      <c r="D13" s="32">
        <f>ROUND(D9*(1-'📊 Параметры'!H15)*'📊 Параметры'!C6+D9*'📊 Параметры'!H15*'📊 Параметры'!C7/12,0)</f>
        <v/>
      </c>
      <c r="E13" s="32">
        <f>ROUND(E9*(1-'📊 Параметры'!H15)*'📊 Параметры'!C6+E9*'📊 Параметры'!H15*'📊 Параметры'!C7/12,0)</f>
        <v/>
      </c>
      <c r="F13" s="32">
        <f>ROUND(F9*(1-'📊 Параметры'!H15)*'📊 Параметры'!C6+F9*'📊 Параметры'!H15*'📊 Параметры'!C7/12,0)</f>
        <v/>
      </c>
      <c r="G13" s="32">
        <f>ROUND(G9*(1-'📊 Параметры'!H15)*'📊 Параметры'!C6+G9*'📊 Параметры'!H15*'📊 Параметры'!C7/12,0)</f>
        <v/>
      </c>
      <c r="H13" s="32">
        <f>ROUND(H9*(1-'📊 Параметры'!H15)*'📊 Параметры'!C6+H9*'📊 Параметры'!H15*'📊 Параметры'!C7/12,0)</f>
        <v/>
      </c>
      <c r="I13" s="32">
        <f>ROUND(I9*(1-'📊 Параметры'!H15)*'📊 Параметры'!C6+I9*'📊 Параметры'!H15*'📊 Параметры'!C7/12,0)</f>
        <v/>
      </c>
      <c r="J13" s="32">
        <f>ROUND(J9*(1-'📊 Параметры'!H15)*'📊 Параметры'!C6+J9*'📊 Параметры'!H15*'📊 Параметры'!C7/12,0)</f>
        <v/>
      </c>
      <c r="K13" s="32">
        <f>ROUND(K9*(1-'📊 Параметры'!H15)*'📊 Параметры'!C6+K9*'📊 Параметры'!H15*'📊 Параметры'!C7/12,0)</f>
        <v/>
      </c>
      <c r="L13" s="32">
        <f>ROUND(L9*(1-'📊 Параметры'!H15)*'📊 Параметры'!C6+L9*'📊 Параметры'!H15*'📊 Параметры'!C7/12,0)</f>
        <v/>
      </c>
      <c r="M13" s="32">
        <f>ROUND(M9*(1-'📊 Параметры'!H15)*'📊 Параметры'!C6+M9*'📊 Параметры'!H15*'📊 Параметры'!C7/12,0)</f>
        <v/>
      </c>
      <c r="N13" s="32">
        <f>ROUND(N9*(1-'📊 Параметры'!H15)*'📊 Параметры'!C6+N9*'📊 Параметры'!H15*'📊 Параметры'!C7/12,0)</f>
        <v/>
      </c>
      <c r="O13" s="32">
        <f>ROUND(O9*(1-'📊 Параметры'!H15)*'📊 Параметры'!C6+O9*'📊 Параметры'!H15*'📊 Параметры'!C7/12,0)</f>
        <v/>
      </c>
      <c r="P13" s="32">
        <f>ROUND(P9*(1-'📊 Параметры'!H15)*'📊 Параметры'!C6+P9*'📊 Параметры'!H15*'📊 Параметры'!C7/12,0)</f>
        <v/>
      </c>
      <c r="Q13" s="32">
        <f>ROUND(Q9*(1-'📊 Параметры'!H15)*'📊 Параметры'!C6+Q9*'📊 Параметры'!H15*'📊 Параметры'!C7/12,0)</f>
        <v/>
      </c>
      <c r="R13" s="32">
        <f>ROUND(R9*(1-'📊 Параметры'!H15)*'📊 Параметры'!C6+R9*'📊 Параметры'!H15*'📊 Параметры'!C7/12,0)</f>
        <v/>
      </c>
      <c r="S13" s="32">
        <f>ROUND(S9*(1-'📊 Параметры'!H15)*'📊 Параметры'!C6+S9*'📊 Параметры'!H15*'📊 Параметры'!C7/12,0)</f>
        <v/>
      </c>
      <c r="T13" s="32">
        <f>ROUND(T9*(1-'📊 Параметры'!H15)*'📊 Параметры'!C6+T9*'📊 Параметры'!H15*'📊 Параметры'!C7/12,0)</f>
        <v/>
      </c>
      <c r="U13" s="32">
        <f>ROUND(U9*(1-'📊 Параметры'!H15)*'📊 Параметры'!C6+U9*'📊 Параметры'!H15*'📊 Параметры'!C7/12,0)</f>
        <v/>
      </c>
      <c r="V13" s="32">
        <f>ROUND(V9*(1-'📊 Параметры'!H15)*'📊 Параметры'!C6+V9*'📊 Параметры'!H15*'📊 Параметры'!C7/12,0)</f>
        <v/>
      </c>
      <c r="W13" s="32">
        <f>ROUND(W9*(1-'📊 Параметры'!H15)*'📊 Параметры'!C6+W9*'📊 Параметры'!H15*'📊 Параметры'!C7/12,0)</f>
        <v/>
      </c>
      <c r="X13" s="32">
        <f>ROUND(X9*(1-'📊 Параметры'!H15)*'📊 Параметры'!C6+X9*'📊 Параметры'!H15*'📊 Параметры'!C7/12,0)</f>
        <v/>
      </c>
      <c r="Y13" s="32">
        <f>ROUND(Y9*(1-'📊 Параметры'!H15)*'📊 Параметры'!C6+Y9*'📊 Параметры'!H15*'📊 Параметры'!C7/12,0)</f>
        <v/>
      </c>
    </row>
    <row r="14" ht="18" customHeight="1">
      <c r="A14" s="31" t="inlineStr">
        <is>
          <t>Выручка Семейный (руб)</t>
        </is>
      </c>
      <c r="B14" s="32">
        <f>ROUND(B10*(1-'📊 Параметры'!H15)*'📊 Параметры'!D6+B10*'📊 Параметры'!H15*'📊 Параметры'!D7/12,0)</f>
        <v/>
      </c>
      <c r="C14" s="32">
        <f>ROUND(C10*(1-'📊 Параметры'!H15)*'📊 Параметры'!D6+C10*'📊 Параметры'!H15*'📊 Параметры'!D7/12,0)</f>
        <v/>
      </c>
      <c r="D14" s="32">
        <f>ROUND(D10*(1-'📊 Параметры'!H15)*'📊 Параметры'!D6+D10*'📊 Параметры'!H15*'📊 Параметры'!D7/12,0)</f>
        <v/>
      </c>
      <c r="E14" s="32">
        <f>ROUND(E10*(1-'📊 Параметры'!H15)*'📊 Параметры'!D6+E10*'📊 Параметры'!H15*'📊 Параметры'!D7/12,0)</f>
        <v/>
      </c>
      <c r="F14" s="32">
        <f>ROUND(F10*(1-'📊 Параметры'!H15)*'📊 Параметры'!D6+F10*'📊 Параметры'!H15*'📊 Параметры'!D7/12,0)</f>
        <v/>
      </c>
      <c r="G14" s="32">
        <f>ROUND(G10*(1-'📊 Параметры'!H15)*'📊 Параметры'!D6+G10*'📊 Параметры'!H15*'📊 Параметры'!D7/12,0)</f>
        <v/>
      </c>
      <c r="H14" s="32">
        <f>ROUND(H10*(1-'📊 Параметры'!H15)*'📊 Параметры'!D6+H10*'📊 Параметры'!H15*'📊 Параметры'!D7/12,0)</f>
        <v/>
      </c>
      <c r="I14" s="32">
        <f>ROUND(I10*(1-'📊 Параметры'!H15)*'📊 Параметры'!D6+I10*'📊 Параметры'!H15*'📊 Параметры'!D7/12,0)</f>
        <v/>
      </c>
      <c r="J14" s="32">
        <f>ROUND(J10*(1-'📊 Параметры'!H15)*'📊 Параметры'!D6+J10*'📊 Параметры'!H15*'📊 Параметры'!D7/12,0)</f>
        <v/>
      </c>
      <c r="K14" s="32">
        <f>ROUND(K10*(1-'📊 Параметры'!H15)*'📊 Параметры'!D6+K10*'📊 Параметры'!H15*'📊 Параметры'!D7/12,0)</f>
        <v/>
      </c>
      <c r="L14" s="32">
        <f>ROUND(L10*(1-'📊 Параметры'!H15)*'📊 Параметры'!D6+L10*'📊 Параметры'!H15*'📊 Параметры'!D7/12,0)</f>
        <v/>
      </c>
      <c r="M14" s="32">
        <f>ROUND(M10*(1-'📊 Параметры'!H15)*'📊 Параметры'!D6+M10*'📊 Параметры'!H15*'📊 Параметры'!D7/12,0)</f>
        <v/>
      </c>
      <c r="N14" s="32">
        <f>ROUND(N10*(1-'📊 Параметры'!H15)*'📊 Параметры'!D6+N10*'📊 Параметры'!H15*'📊 Параметры'!D7/12,0)</f>
        <v/>
      </c>
      <c r="O14" s="32">
        <f>ROUND(O10*(1-'📊 Параметры'!H15)*'📊 Параметры'!D6+O10*'📊 Параметры'!H15*'📊 Параметры'!D7/12,0)</f>
        <v/>
      </c>
      <c r="P14" s="32">
        <f>ROUND(P10*(1-'📊 Параметры'!H15)*'📊 Параметры'!D6+P10*'📊 Параметры'!H15*'📊 Параметры'!D7/12,0)</f>
        <v/>
      </c>
      <c r="Q14" s="32">
        <f>ROUND(Q10*(1-'📊 Параметры'!H15)*'📊 Параметры'!D6+Q10*'📊 Параметры'!H15*'📊 Параметры'!D7/12,0)</f>
        <v/>
      </c>
      <c r="R14" s="32">
        <f>ROUND(R10*(1-'📊 Параметры'!H15)*'📊 Параметры'!D6+R10*'📊 Параметры'!H15*'📊 Параметры'!D7/12,0)</f>
        <v/>
      </c>
      <c r="S14" s="32">
        <f>ROUND(S10*(1-'📊 Параметры'!H15)*'📊 Параметры'!D6+S10*'📊 Параметры'!H15*'📊 Параметры'!D7/12,0)</f>
        <v/>
      </c>
      <c r="T14" s="32">
        <f>ROUND(T10*(1-'📊 Параметры'!H15)*'📊 Параметры'!D6+T10*'📊 Параметры'!H15*'📊 Параметры'!D7/12,0)</f>
        <v/>
      </c>
      <c r="U14" s="32">
        <f>ROUND(U10*(1-'📊 Параметры'!H15)*'📊 Параметры'!D6+U10*'📊 Параметры'!H15*'📊 Параметры'!D7/12,0)</f>
        <v/>
      </c>
      <c r="V14" s="32">
        <f>ROUND(V10*(1-'📊 Параметры'!H15)*'📊 Параметры'!D6+V10*'📊 Параметры'!H15*'📊 Параметры'!D7/12,0)</f>
        <v/>
      </c>
      <c r="W14" s="32">
        <f>ROUND(W10*(1-'📊 Параметры'!H15)*'📊 Параметры'!D6+W10*'📊 Параметры'!H15*'📊 Параметры'!D7/12,0)</f>
        <v/>
      </c>
      <c r="X14" s="32">
        <f>ROUND(X10*(1-'📊 Параметры'!H15)*'📊 Параметры'!D6+X10*'📊 Параметры'!H15*'📊 Параметры'!D7/12,0)</f>
        <v/>
      </c>
      <c r="Y14" s="32">
        <f>ROUND(Y10*(1-'📊 Параметры'!H15)*'📊 Параметры'!D6+Y10*'📊 Параметры'!H15*'📊 Параметры'!D7/12,0)</f>
        <v/>
      </c>
    </row>
    <row r="15" ht="18" customHeight="1">
      <c r="A15" s="37" t="inlineStr">
        <is>
          <t>MRR — ИТОГО ВЫРУЧКА (руб)</t>
        </is>
      </c>
      <c r="B15" s="38">
        <f>B13+B14</f>
        <v/>
      </c>
      <c r="C15" s="38">
        <f>C13+C14</f>
        <v/>
      </c>
      <c r="D15" s="38">
        <f>D13+D14</f>
        <v/>
      </c>
      <c r="E15" s="38">
        <f>E13+E14</f>
        <v/>
      </c>
      <c r="F15" s="38">
        <f>F13+F14</f>
        <v/>
      </c>
      <c r="G15" s="38">
        <f>G13+G14</f>
        <v/>
      </c>
      <c r="H15" s="38">
        <f>H13+H14</f>
        <v/>
      </c>
      <c r="I15" s="38">
        <f>I13+I14</f>
        <v/>
      </c>
      <c r="J15" s="38">
        <f>J13+J14</f>
        <v/>
      </c>
      <c r="K15" s="38">
        <f>K13+K14</f>
        <v/>
      </c>
      <c r="L15" s="38">
        <f>L13+L14</f>
        <v/>
      </c>
      <c r="M15" s="38">
        <f>M13+M14</f>
        <v/>
      </c>
      <c r="N15" s="38">
        <f>N13+N14</f>
        <v/>
      </c>
      <c r="O15" s="38">
        <f>O13+O14</f>
        <v/>
      </c>
      <c r="P15" s="38">
        <f>P13+P14</f>
        <v/>
      </c>
      <c r="Q15" s="38">
        <f>Q13+Q14</f>
        <v/>
      </c>
      <c r="R15" s="38">
        <f>R13+R14</f>
        <v/>
      </c>
      <c r="S15" s="38">
        <f>S13+S14</f>
        <v/>
      </c>
      <c r="T15" s="38">
        <f>T13+T14</f>
        <v/>
      </c>
      <c r="U15" s="38">
        <f>U13+U14</f>
        <v/>
      </c>
      <c r="V15" s="38">
        <f>V13+V14</f>
        <v/>
      </c>
      <c r="W15" s="38">
        <f>W13+W14</f>
        <v/>
      </c>
      <c r="X15" s="38">
        <f>X13+X14</f>
        <v/>
      </c>
      <c r="Y15" s="38">
        <f>Y13+Y14</f>
        <v/>
      </c>
    </row>
    <row r="16" ht="20" customHeight="1">
      <c r="A16" s="30" t="inlineStr">
        <is>
          <t>⚙️  COGS — ПРЯМЫЕ ПЕРЕМЕННЫЕ РАСХОДЫ</t>
        </is>
      </c>
    </row>
    <row r="17" ht="18" customHeight="1">
      <c r="A17" s="31" t="inlineStr">
        <is>
          <t>AI-расходы (переменные)</t>
        </is>
      </c>
      <c r="B17" s="32">
        <f>ROUND(B11*'📊 Параметры'!D26,0)</f>
        <v/>
      </c>
      <c r="C17" s="32">
        <f>ROUND(C11*'📊 Параметры'!D26,0)</f>
        <v/>
      </c>
      <c r="D17" s="32">
        <f>ROUND(D11*'📊 Параметры'!D26,0)</f>
        <v/>
      </c>
      <c r="E17" s="32">
        <f>ROUND(E11*'📊 Параметры'!D26,0)</f>
        <v/>
      </c>
      <c r="F17" s="32">
        <f>ROUND(F11*'📊 Параметры'!D26,0)</f>
        <v/>
      </c>
      <c r="G17" s="32">
        <f>ROUND(G11*'📊 Параметры'!D26,0)</f>
        <v/>
      </c>
      <c r="H17" s="32">
        <f>ROUND(H11*'📊 Параметры'!D26,0)</f>
        <v/>
      </c>
      <c r="I17" s="32">
        <f>ROUND(I11*'📊 Параметры'!D26,0)</f>
        <v/>
      </c>
      <c r="J17" s="32">
        <f>ROUND(J11*'📊 Параметры'!D26,0)</f>
        <v/>
      </c>
      <c r="K17" s="32">
        <f>ROUND(K11*'📊 Параметры'!D26,0)</f>
        <v/>
      </c>
      <c r="L17" s="32">
        <f>ROUND(L11*'📊 Параметры'!D26,0)</f>
        <v/>
      </c>
      <c r="M17" s="32">
        <f>ROUND(M11*'📊 Параметры'!D26,0)</f>
        <v/>
      </c>
      <c r="N17" s="32">
        <f>ROUND(N11*'📊 Параметры'!D26,0)</f>
        <v/>
      </c>
      <c r="O17" s="32">
        <f>ROUND(O11*'📊 Параметры'!D26,0)</f>
        <v/>
      </c>
      <c r="P17" s="32">
        <f>ROUND(P11*'📊 Параметры'!D26,0)</f>
        <v/>
      </c>
      <c r="Q17" s="32">
        <f>ROUND(Q11*'📊 Параметры'!D26,0)</f>
        <v/>
      </c>
      <c r="R17" s="32">
        <f>ROUND(R11*'📊 Параметры'!D26,0)</f>
        <v/>
      </c>
      <c r="S17" s="32">
        <f>ROUND(S11*'📊 Параметры'!D26,0)</f>
        <v/>
      </c>
      <c r="T17" s="32">
        <f>ROUND(T11*'📊 Параметры'!D26,0)</f>
        <v/>
      </c>
      <c r="U17" s="32">
        <f>ROUND(U11*'📊 Параметры'!D26,0)</f>
        <v/>
      </c>
      <c r="V17" s="32">
        <f>ROUND(V11*'📊 Параметры'!D26,0)</f>
        <v/>
      </c>
      <c r="W17" s="32">
        <f>ROUND(W11*'📊 Параметры'!D26,0)</f>
        <v/>
      </c>
      <c r="X17" s="32">
        <f>ROUND(X11*'📊 Параметры'!D26,0)</f>
        <v/>
      </c>
      <c r="Y17" s="32">
        <f>ROUND(Y11*'📊 Параметры'!D26,0)</f>
        <v/>
      </c>
    </row>
    <row r="18" ht="18" customHeight="1">
      <c r="A18" s="31" t="inlineStr">
        <is>
          <t>Комиссия App Store / Google Play (30%)</t>
        </is>
      </c>
      <c r="B18" s="32">
        <f>ROUND(B15*0.30,0)</f>
        <v/>
      </c>
      <c r="C18" s="32">
        <f>ROUND(C15*0.30,0)</f>
        <v/>
      </c>
      <c r="D18" s="32">
        <f>ROUND(D15*0.30,0)</f>
        <v/>
      </c>
      <c r="E18" s="32">
        <f>ROUND(E15*0.30,0)</f>
        <v/>
      </c>
      <c r="F18" s="32">
        <f>ROUND(F15*0.30,0)</f>
        <v/>
      </c>
      <c r="G18" s="32">
        <f>ROUND(G15*0.30,0)</f>
        <v/>
      </c>
      <c r="H18" s="32">
        <f>ROUND(H15*0.30,0)</f>
        <v/>
      </c>
      <c r="I18" s="32">
        <f>ROUND(I15*0.30,0)</f>
        <v/>
      </c>
      <c r="J18" s="32">
        <f>ROUND(J15*0.30,0)</f>
        <v/>
      </c>
      <c r="K18" s="32">
        <f>ROUND(K15*0.30,0)</f>
        <v/>
      </c>
      <c r="L18" s="32">
        <f>ROUND(L15*0.30,0)</f>
        <v/>
      </c>
      <c r="M18" s="32">
        <f>ROUND(M15*0.30,0)</f>
        <v/>
      </c>
      <c r="N18" s="32">
        <f>ROUND(N15*0.30,0)</f>
        <v/>
      </c>
      <c r="O18" s="32">
        <f>ROUND(O15*0.30,0)</f>
        <v/>
      </c>
      <c r="P18" s="32">
        <f>ROUND(P15*0.30,0)</f>
        <v/>
      </c>
      <c r="Q18" s="32">
        <f>ROUND(Q15*0.30,0)</f>
        <v/>
      </c>
      <c r="R18" s="32">
        <f>ROUND(R15*0.30,0)</f>
        <v/>
      </c>
      <c r="S18" s="32">
        <f>ROUND(S15*0.30,0)</f>
        <v/>
      </c>
      <c r="T18" s="32">
        <f>ROUND(T15*0.30,0)</f>
        <v/>
      </c>
      <c r="U18" s="32">
        <f>ROUND(U15*0.30,0)</f>
        <v/>
      </c>
      <c r="V18" s="32">
        <f>ROUND(V15*0.30,0)</f>
        <v/>
      </c>
      <c r="W18" s="32">
        <f>ROUND(W15*0.30,0)</f>
        <v/>
      </c>
      <c r="X18" s="32">
        <f>ROUND(X15*0.30,0)</f>
        <v/>
      </c>
      <c r="Y18" s="32">
        <f>ROUND(Y15*0.30,0)</f>
        <v/>
      </c>
    </row>
    <row r="19" ht="18" customHeight="1">
      <c r="A19" s="31" t="inlineStr">
        <is>
          <t>Эквайринг / платёжная комиссия (2.5%)</t>
        </is>
      </c>
      <c r="B19" s="32">
        <f>ROUND(B15*0.025,0)</f>
        <v/>
      </c>
      <c r="C19" s="32">
        <f>ROUND(C15*0.025,0)</f>
        <v/>
      </c>
      <c r="D19" s="32">
        <f>ROUND(D15*0.025,0)</f>
        <v/>
      </c>
      <c r="E19" s="32">
        <f>ROUND(E15*0.025,0)</f>
        <v/>
      </c>
      <c r="F19" s="32">
        <f>ROUND(F15*0.025,0)</f>
        <v/>
      </c>
      <c r="G19" s="32">
        <f>ROUND(G15*0.025,0)</f>
        <v/>
      </c>
      <c r="H19" s="32">
        <f>ROUND(H15*0.025,0)</f>
        <v/>
      </c>
      <c r="I19" s="32">
        <f>ROUND(I15*0.025,0)</f>
        <v/>
      </c>
      <c r="J19" s="32">
        <f>ROUND(J15*0.025,0)</f>
        <v/>
      </c>
      <c r="K19" s="32">
        <f>ROUND(K15*0.025,0)</f>
        <v/>
      </c>
      <c r="L19" s="32">
        <f>ROUND(L15*0.025,0)</f>
        <v/>
      </c>
      <c r="M19" s="32">
        <f>ROUND(M15*0.025,0)</f>
        <v/>
      </c>
      <c r="N19" s="32">
        <f>ROUND(N15*0.025,0)</f>
        <v/>
      </c>
      <c r="O19" s="32">
        <f>ROUND(O15*0.025,0)</f>
        <v/>
      </c>
      <c r="P19" s="32">
        <f>ROUND(P15*0.025,0)</f>
        <v/>
      </c>
      <c r="Q19" s="32">
        <f>ROUND(Q15*0.025,0)</f>
        <v/>
      </c>
      <c r="R19" s="32">
        <f>ROUND(R15*0.025,0)</f>
        <v/>
      </c>
      <c r="S19" s="32">
        <f>ROUND(S15*0.025,0)</f>
        <v/>
      </c>
      <c r="T19" s="32">
        <f>ROUND(T15*0.025,0)</f>
        <v/>
      </c>
      <c r="U19" s="32">
        <f>ROUND(U15*0.025,0)</f>
        <v/>
      </c>
      <c r="V19" s="32">
        <f>ROUND(V15*0.025,0)</f>
        <v/>
      </c>
      <c r="W19" s="32">
        <f>ROUND(W15*0.025,0)</f>
        <v/>
      </c>
      <c r="X19" s="32">
        <f>ROUND(X15*0.025,0)</f>
        <v/>
      </c>
      <c r="Y19" s="32">
        <f>ROUND(Y15*0.025,0)</f>
        <v/>
      </c>
    </row>
    <row r="20" ht="18" customHeight="1">
      <c r="A20" s="39" t="inlineStr">
        <is>
          <t>ИТОГО COGS</t>
        </is>
      </c>
      <c r="B20" s="40">
        <f>B17+B18+B19</f>
        <v/>
      </c>
      <c r="C20" s="40">
        <f>C17+C18+C19</f>
        <v/>
      </c>
      <c r="D20" s="40">
        <f>D17+D18+D19</f>
        <v/>
      </c>
      <c r="E20" s="40">
        <f>E17+E18+E19</f>
        <v/>
      </c>
      <c r="F20" s="40">
        <f>F17+F18+F19</f>
        <v/>
      </c>
      <c r="G20" s="40">
        <f>G17+G18+G19</f>
        <v/>
      </c>
      <c r="H20" s="40">
        <f>H17+H18+H19</f>
        <v/>
      </c>
      <c r="I20" s="40">
        <f>I17+I18+I19</f>
        <v/>
      </c>
      <c r="J20" s="40">
        <f>J17+J18+J19</f>
        <v/>
      </c>
      <c r="K20" s="40">
        <f>K17+K18+K19</f>
        <v/>
      </c>
      <c r="L20" s="40">
        <f>L17+L18+L19</f>
        <v/>
      </c>
      <c r="M20" s="40">
        <f>M17+M18+M19</f>
        <v/>
      </c>
      <c r="N20" s="40">
        <f>N17+N18+N19</f>
        <v/>
      </c>
      <c r="O20" s="40">
        <f>O17+O18+O19</f>
        <v/>
      </c>
      <c r="P20" s="40">
        <f>P17+P18+P19</f>
        <v/>
      </c>
      <c r="Q20" s="40">
        <f>Q17+Q18+Q19</f>
        <v/>
      </c>
      <c r="R20" s="40">
        <f>R17+R18+R19</f>
        <v/>
      </c>
      <c r="S20" s="40">
        <f>S17+S18+S19</f>
        <v/>
      </c>
      <c r="T20" s="40">
        <f>T17+T18+T19</f>
        <v/>
      </c>
      <c r="U20" s="40">
        <f>U17+U18+U19</f>
        <v/>
      </c>
      <c r="V20" s="40">
        <f>V17+V18+V19</f>
        <v/>
      </c>
      <c r="W20" s="40">
        <f>W17+W18+W19</f>
        <v/>
      </c>
      <c r="X20" s="40">
        <f>X17+X18+X19</f>
        <v/>
      </c>
      <c r="Y20" s="40">
        <f>Y17+Y18+Y19</f>
        <v/>
      </c>
    </row>
    <row r="21" ht="18" customHeight="1">
      <c r="A21" s="33" t="inlineStr">
        <is>
          <t>ВАЛОВАЯ ПРИБЫЛЬ</t>
        </is>
      </c>
      <c r="B21" s="34">
        <f>B15-B20</f>
        <v/>
      </c>
      <c r="C21" s="34">
        <f>C15-C20</f>
        <v/>
      </c>
      <c r="D21" s="34">
        <f>D15-D20</f>
        <v/>
      </c>
      <c r="E21" s="34">
        <f>E15-E20</f>
        <v/>
      </c>
      <c r="F21" s="34">
        <f>F15-F20</f>
        <v/>
      </c>
      <c r="G21" s="34">
        <f>G15-G20</f>
        <v/>
      </c>
      <c r="H21" s="34">
        <f>H15-H20</f>
        <v/>
      </c>
      <c r="I21" s="34">
        <f>I15-I20</f>
        <v/>
      </c>
      <c r="J21" s="34">
        <f>J15-J20</f>
        <v/>
      </c>
      <c r="K21" s="34">
        <f>K15-K20</f>
        <v/>
      </c>
      <c r="L21" s="34">
        <f>L15-L20</f>
        <v/>
      </c>
      <c r="M21" s="34">
        <f>M15-M20</f>
        <v/>
      </c>
      <c r="N21" s="34">
        <f>N15-N20</f>
        <v/>
      </c>
      <c r="O21" s="34">
        <f>O15-O20</f>
        <v/>
      </c>
      <c r="P21" s="34">
        <f>P15-P20</f>
        <v/>
      </c>
      <c r="Q21" s="34">
        <f>Q15-Q20</f>
        <v/>
      </c>
      <c r="R21" s="34">
        <f>R15-R20</f>
        <v/>
      </c>
      <c r="S21" s="34">
        <f>S15-S20</f>
        <v/>
      </c>
      <c r="T21" s="34">
        <f>T15-T20</f>
        <v/>
      </c>
      <c r="U21" s="34">
        <f>U15-U20</f>
        <v/>
      </c>
      <c r="V21" s="34">
        <f>V15-V20</f>
        <v/>
      </c>
      <c r="W21" s="34">
        <f>W15-W20</f>
        <v/>
      </c>
      <c r="X21" s="34">
        <f>X15-X20</f>
        <v/>
      </c>
      <c r="Y21" s="34">
        <f>Y15-Y20</f>
        <v/>
      </c>
    </row>
    <row r="22" ht="18" customHeight="1">
      <c r="A22" s="41" t="inlineStr">
        <is>
          <t>Gross Margin %</t>
        </is>
      </c>
      <c r="B22" s="42">
        <f>IFERROR(B21/B15,0)</f>
        <v/>
      </c>
      <c r="C22" s="42">
        <f>IFERROR(C21/C15,0)</f>
        <v/>
      </c>
      <c r="D22" s="42">
        <f>IFERROR(D21/D15,0)</f>
        <v/>
      </c>
      <c r="E22" s="42">
        <f>IFERROR(E21/E15,0)</f>
        <v/>
      </c>
      <c r="F22" s="42">
        <f>IFERROR(F21/F15,0)</f>
        <v/>
      </c>
      <c r="G22" s="42">
        <f>IFERROR(G21/G15,0)</f>
        <v/>
      </c>
      <c r="H22" s="42">
        <f>IFERROR(H21/H15,0)</f>
        <v/>
      </c>
      <c r="I22" s="42">
        <f>IFERROR(I21/I15,0)</f>
        <v/>
      </c>
      <c r="J22" s="42">
        <f>IFERROR(J21/J15,0)</f>
        <v/>
      </c>
      <c r="K22" s="42">
        <f>IFERROR(K21/K15,0)</f>
        <v/>
      </c>
      <c r="L22" s="42">
        <f>IFERROR(L21/L15,0)</f>
        <v/>
      </c>
      <c r="M22" s="42">
        <f>IFERROR(M21/M15,0)</f>
        <v/>
      </c>
      <c r="N22" s="42">
        <f>IFERROR(N21/N15,0)</f>
        <v/>
      </c>
      <c r="O22" s="42">
        <f>IFERROR(O21/O15,0)</f>
        <v/>
      </c>
      <c r="P22" s="42">
        <f>IFERROR(P21/P15,0)</f>
        <v/>
      </c>
      <c r="Q22" s="42">
        <f>IFERROR(Q21/Q15,0)</f>
        <v/>
      </c>
      <c r="R22" s="42">
        <f>IFERROR(R21/R15,0)</f>
        <v/>
      </c>
      <c r="S22" s="42">
        <f>IFERROR(S21/S15,0)</f>
        <v/>
      </c>
      <c r="T22" s="42">
        <f>IFERROR(T21/T15,0)</f>
        <v/>
      </c>
      <c r="U22" s="42">
        <f>IFERROR(U21/U15,0)</f>
        <v/>
      </c>
      <c r="V22" s="42">
        <f>IFERROR(V21/V15,0)</f>
        <v/>
      </c>
      <c r="W22" s="42">
        <f>IFERROR(W21/W15,0)</f>
        <v/>
      </c>
      <c r="X22" s="42">
        <f>IFERROR(X21/X15,0)</f>
        <v/>
      </c>
      <c r="Y22" s="42">
        <f>IFERROR(Y21/Y15,0)</f>
        <v/>
      </c>
    </row>
    <row r="23" ht="20" customHeight="1">
      <c r="A23" s="30" t="inlineStr">
        <is>
          <t>📊  ОПЕРАЦИОННЫЕ РАСХОДЫ (OpEx)</t>
        </is>
      </c>
    </row>
    <row r="24" ht="18" customHeight="1">
      <c r="A24" s="31" t="inlineStr">
        <is>
          <t>ФОТ команды (с налогами)</t>
        </is>
      </c>
      <c r="B24" s="32">
        <f>'💸 Расходы'!D12</f>
        <v/>
      </c>
      <c r="C24" s="32">
        <f>'💸 Расходы'!D12</f>
        <v/>
      </c>
      <c r="D24" s="32">
        <f>'💸 Расходы'!D12</f>
        <v/>
      </c>
      <c r="E24" s="32">
        <f>'💸 Расходы'!D12</f>
        <v/>
      </c>
      <c r="F24" s="32">
        <f>'💸 Расходы'!D12</f>
        <v/>
      </c>
      <c r="G24" s="32">
        <f>'💸 Расходы'!D12</f>
        <v/>
      </c>
      <c r="H24" s="32">
        <f>'💸 Расходы'!D12</f>
        <v/>
      </c>
      <c r="I24" s="32">
        <f>'💸 Расходы'!D12</f>
        <v/>
      </c>
      <c r="J24" s="32">
        <f>'💸 Расходы'!D12</f>
        <v/>
      </c>
      <c r="K24" s="32">
        <f>'💸 Расходы'!D12</f>
        <v/>
      </c>
      <c r="L24" s="32">
        <f>'💸 Расходы'!D12</f>
        <v/>
      </c>
      <c r="M24" s="32">
        <f>'💸 Расходы'!D12</f>
        <v/>
      </c>
      <c r="N24" s="32">
        <f>'💸 Расходы'!D12</f>
        <v/>
      </c>
      <c r="O24" s="32">
        <f>'💸 Расходы'!D12</f>
        <v/>
      </c>
      <c r="P24" s="32">
        <f>'💸 Расходы'!D12</f>
        <v/>
      </c>
      <c r="Q24" s="32">
        <f>'💸 Расходы'!D12</f>
        <v/>
      </c>
      <c r="R24" s="32">
        <f>'💸 Расходы'!D12</f>
        <v/>
      </c>
      <c r="S24" s="32">
        <f>'💸 Расходы'!D12</f>
        <v/>
      </c>
      <c r="T24" s="32">
        <f>'💸 Расходы'!D12</f>
        <v/>
      </c>
      <c r="U24" s="32">
        <f>'💸 Расходы'!D12</f>
        <v/>
      </c>
      <c r="V24" s="32">
        <f>'💸 Расходы'!D12</f>
        <v/>
      </c>
      <c r="W24" s="32">
        <f>'💸 Расходы'!D12</f>
        <v/>
      </c>
      <c r="X24" s="32">
        <f>'💸 Расходы'!D12</f>
        <v/>
      </c>
      <c r="Y24" s="32">
        <f>'💸 Расходы'!D12</f>
        <v/>
      </c>
    </row>
    <row r="25" ht="18" customHeight="1">
      <c r="A25" s="31" t="inlineStr">
        <is>
          <t>Инфраструктура (масштабируемая)</t>
        </is>
      </c>
      <c r="B25" s="32">
        <f>ROUND('💸 Расходы'!D29*(1+B11/2000*0.10),0)</f>
        <v/>
      </c>
      <c r="C25" s="32">
        <f>ROUND('💸 Расходы'!D29*(1+C11/2000*0.10),0)</f>
        <v/>
      </c>
      <c r="D25" s="32">
        <f>ROUND('💸 Расходы'!D29*(1+D11/2000*0.10),0)</f>
        <v/>
      </c>
      <c r="E25" s="32">
        <f>ROUND('💸 Расходы'!D29*(1+E11/2000*0.10),0)</f>
        <v/>
      </c>
      <c r="F25" s="32">
        <f>ROUND('💸 Расходы'!D29*(1+F11/2000*0.10),0)</f>
        <v/>
      </c>
      <c r="G25" s="32">
        <f>ROUND('💸 Расходы'!D29*(1+G11/2000*0.10),0)</f>
        <v/>
      </c>
      <c r="H25" s="32">
        <f>ROUND('💸 Расходы'!D29*(1+H11/2000*0.10),0)</f>
        <v/>
      </c>
      <c r="I25" s="32">
        <f>ROUND('💸 Расходы'!D29*(1+I11/2000*0.10),0)</f>
        <v/>
      </c>
      <c r="J25" s="32">
        <f>ROUND('💸 Расходы'!D29*(1+J11/2000*0.10),0)</f>
        <v/>
      </c>
      <c r="K25" s="32">
        <f>ROUND('💸 Расходы'!D29*(1+K11/2000*0.10),0)</f>
        <v/>
      </c>
      <c r="L25" s="32">
        <f>ROUND('💸 Расходы'!D29*(1+L11/2000*0.10),0)</f>
        <v/>
      </c>
      <c r="M25" s="32">
        <f>ROUND('💸 Расходы'!D29*(1+M11/2000*0.10),0)</f>
        <v/>
      </c>
      <c r="N25" s="32">
        <f>ROUND('💸 Расходы'!D29*(1+N11/2000*0.10),0)</f>
        <v/>
      </c>
      <c r="O25" s="32">
        <f>ROUND('💸 Расходы'!D29*(1+O11/2000*0.10),0)</f>
        <v/>
      </c>
      <c r="P25" s="32">
        <f>ROUND('💸 Расходы'!D29*(1+P11/2000*0.10),0)</f>
        <v/>
      </c>
      <c r="Q25" s="32">
        <f>ROUND('💸 Расходы'!D29*(1+Q11/2000*0.10),0)</f>
        <v/>
      </c>
      <c r="R25" s="32">
        <f>ROUND('💸 Расходы'!D29*(1+R11/2000*0.10),0)</f>
        <v/>
      </c>
      <c r="S25" s="32">
        <f>ROUND('💸 Расходы'!D29*(1+S11/2000*0.10),0)</f>
        <v/>
      </c>
      <c r="T25" s="32">
        <f>ROUND('💸 Расходы'!D29*(1+T11/2000*0.10),0)</f>
        <v/>
      </c>
      <c r="U25" s="32">
        <f>ROUND('💸 Расходы'!D29*(1+U11/2000*0.10),0)</f>
        <v/>
      </c>
      <c r="V25" s="32">
        <f>ROUND('💸 Расходы'!D29*(1+V11/2000*0.10),0)</f>
        <v/>
      </c>
      <c r="W25" s="32">
        <f>ROUND('💸 Расходы'!D29*(1+W11/2000*0.10),0)</f>
        <v/>
      </c>
      <c r="X25" s="32">
        <f>ROUND('💸 Расходы'!D29*(1+X11/2000*0.10),0)</f>
        <v/>
      </c>
      <c r="Y25" s="32">
        <f>ROUND('💸 Расходы'!D29*(1+Y11/2000*0.10),0)</f>
        <v/>
      </c>
    </row>
    <row r="26" ht="18" customHeight="1">
      <c r="A26" s="31" t="inlineStr">
        <is>
          <t>Административные расходы</t>
        </is>
      </c>
      <c r="B26" s="32">
        <f>'💸 Расходы'!B39</f>
        <v/>
      </c>
      <c r="C26" s="32">
        <f>'💸 Расходы'!B39</f>
        <v/>
      </c>
      <c r="D26" s="32">
        <f>'💸 Расходы'!B39</f>
        <v/>
      </c>
      <c r="E26" s="32">
        <f>'💸 Расходы'!B39</f>
        <v/>
      </c>
      <c r="F26" s="32">
        <f>'💸 Расходы'!B39</f>
        <v/>
      </c>
      <c r="G26" s="32">
        <f>'💸 Расходы'!B39</f>
        <v/>
      </c>
      <c r="H26" s="32">
        <f>'💸 Расходы'!B39</f>
        <v/>
      </c>
      <c r="I26" s="32">
        <f>'💸 Расходы'!B39</f>
        <v/>
      </c>
      <c r="J26" s="32">
        <f>'💸 Расходы'!B39</f>
        <v/>
      </c>
      <c r="K26" s="32">
        <f>'💸 Расходы'!B39</f>
        <v/>
      </c>
      <c r="L26" s="32">
        <f>'💸 Расходы'!B39</f>
        <v/>
      </c>
      <c r="M26" s="32">
        <f>'💸 Расходы'!B39</f>
        <v/>
      </c>
      <c r="N26" s="32">
        <f>'💸 Расходы'!B39</f>
        <v/>
      </c>
      <c r="O26" s="32">
        <f>'💸 Расходы'!B39</f>
        <v/>
      </c>
      <c r="P26" s="32">
        <f>'💸 Расходы'!B39</f>
        <v/>
      </c>
      <c r="Q26" s="32">
        <f>'💸 Расходы'!B39</f>
        <v/>
      </c>
      <c r="R26" s="32">
        <f>'💸 Расходы'!B39</f>
        <v/>
      </c>
      <c r="S26" s="32">
        <f>'💸 Расходы'!B39</f>
        <v/>
      </c>
      <c r="T26" s="32">
        <f>'💸 Расходы'!B39</f>
        <v/>
      </c>
      <c r="U26" s="32">
        <f>'💸 Расходы'!B39</f>
        <v/>
      </c>
      <c r="V26" s="32">
        <f>'💸 Расходы'!B39</f>
        <v/>
      </c>
      <c r="W26" s="32">
        <f>'💸 Расходы'!B39</f>
        <v/>
      </c>
      <c r="X26" s="32">
        <f>'💸 Расходы'!B39</f>
        <v/>
      </c>
      <c r="Y26" s="32">
        <f>'💸 Расходы'!B39</f>
        <v/>
      </c>
    </row>
    <row r="27" ht="18" customHeight="1">
      <c r="A27" s="31" t="inlineStr">
        <is>
          <t>Маркетинговый бюджет</t>
        </is>
      </c>
      <c r="B27" s="32">
        <f>'🔽 Воронка продаж'!B12</f>
        <v/>
      </c>
      <c r="C27" s="32">
        <f>ROUND('🔽 Воронка продаж'!B12*POWER(1+'📊 Параметры'!H7,1),0)</f>
        <v/>
      </c>
      <c r="D27" s="32">
        <f>ROUND('🔽 Воронка продаж'!B12*POWER(1+'📊 Параметры'!H7,2),0)</f>
        <v/>
      </c>
      <c r="E27" s="32">
        <f>ROUND('🔽 Воронка продаж'!B12*POWER(1+'📊 Параметры'!H7,3),0)</f>
        <v/>
      </c>
      <c r="F27" s="32">
        <f>ROUND('🔽 Воронка продаж'!B12*POWER(1+'📊 Параметры'!H7,4),0)</f>
        <v/>
      </c>
      <c r="G27" s="32">
        <f>ROUND('🔽 Воронка продаж'!B12*POWER(1+'📊 Параметры'!H7,5),0)</f>
        <v/>
      </c>
      <c r="H27" s="32">
        <f>ROUND('🔽 Воронка продаж'!B12*POWER(1+'📊 Параметры'!H7,6),0)</f>
        <v/>
      </c>
      <c r="I27" s="32">
        <f>ROUND('🔽 Воронка продаж'!B12*POWER(1+'📊 Параметры'!H7,7),0)</f>
        <v/>
      </c>
      <c r="J27" s="32">
        <f>ROUND('🔽 Воронка продаж'!B12*POWER(1+'📊 Параметры'!H7,8),0)</f>
        <v/>
      </c>
      <c r="K27" s="32">
        <f>ROUND('🔽 Воронка продаж'!B12*POWER(1+'📊 Параметры'!H7,9),0)</f>
        <v/>
      </c>
      <c r="L27" s="32">
        <f>ROUND('🔽 Воронка продаж'!B12*POWER(1+'📊 Параметры'!H7,10),0)</f>
        <v/>
      </c>
      <c r="M27" s="32">
        <f>ROUND('🔽 Воронка продаж'!B12*POWER(1+'📊 Параметры'!H7,11),0)</f>
        <v/>
      </c>
      <c r="N27" s="32">
        <f>ROUND('🔽 Воронка продаж'!B12*POWER(1+'📊 Параметры'!H7,12),0)</f>
        <v/>
      </c>
      <c r="O27" s="32">
        <f>ROUND('🔽 Воронка продаж'!B12*POWER(1+'📊 Параметры'!H7,13),0)</f>
        <v/>
      </c>
      <c r="P27" s="32">
        <f>ROUND('🔽 Воронка продаж'!B12*POWER(1+'📊 Параметры'!H7,14),0)</f>
        <v/>
      </c>
      <c r="Q27" s="32">
        <f>ROUND('🔽 Воронка продаж'!B12*POWER(1+'📊 Параметры'!H7,15),0)</f>
        <v/>
      </c>
      <c r="R27" s="32">
        <f>ROUND('🔽 Воронка продаж'!B12*POWER(1+'📊 Параметры'!H7,16),0)</f>
        <v/>
      </c>
      <c r="S27" s="32">
        <f>ROUND('🔽 Воронка продаж'!B12*POWER(1+'📊 Параметры'!H7,17),0)</f>
        <v/>
      </c>
      <c r="T27" s="32">
        <f>ROUND('🔽 Воронка продаж'!B12*POWER(1+'📊 Параметры'!H7,18),0)</f>
        <v/>
      </c>
      <c r="U27" s="32">
        <f>ROUND('🔽 Воронка продаж'!B12*POWER(1+'📊 Параметры'!H7,19),0)</f>
        <v/>
      </c>
      <c r="V27" s="32">
        <f>ROUND('🔽 Воронка продаж'!B12*POWER(1+'📊 Параметры'!H7,20),0)</f>
        <v/>
      </c>
      <c r="W27" s="32">
        <f>ROUND('🔽 Воронка продаж'!B12*POWER(1+'📊 Параметры'!H7,21),0)</f>
        <v/>
      </c>
      <c r="X27" s="32">
        <f>ROUND('🔽 Воронка продаж'!B12*POWER(1+'📊 Параметры'!H7,22),0)</f>
        <v/>
      </c>
      <c r="Y27" s="32">
        <f>ROUND('🔽 Воронка продаж'!B12*POWER(1+'📊 Параметры'!H7,23),0)</f>
        <v/>
      </c>
    </row>
    <row r="28" ht="18" customHeight="1">
      <c r="A28" s="39" t="inlineStr">
        <is>
          <t>ИТОГО OpEx</t>
        </is>
      </c>
      <c r="B28" s="40">
        <f>B24+B25+B26+B27</f>
        <v/>
      </c>
      <c r="C28" s="40">
        <f>C24+C25+C26+C27</f>
        <v/>
      </c>
      <c r="D28" s="40">
        <f>D24+D25+D26+D27</f>
        <v/>
      </c>
      <c r="E28" s="40">
        <f>E24+E25+E26+E27</f>
        <v/>
      </c>
      <c r="F28" s="40">
        <f>F24+F25+F26+F27</f>
        <v/>
      </c>
      <c r="G28" s="40">
        <f>G24+G25+G26+G27</f>
        <v/>
      </c>
      <c r="H28" s="40">
        <f>H24+H25+H26+H27</f>
        <v/>
      </c>
      <c r="I28" s="40">
        <f>I24+I25+I26+I27</f>
        <v/>
      </c>
      <c r="J28" s="40">
        <f>J24+J25+J26+J27</f>
        <v/>
      </c>
      <c r="K28" s="40">
        <f>K24+K25+K26+K27</f>
        <v/>
      </c>
      <c r="L28" s="40">
        <f>L24+L25+L26+L27</f>
        <v/>
      </c>
      <c r="M28" s="40">
        <f>M24+M25+M26+M27</f>
        <v/>
      </c>
      <c r="N28" s="40">
        <f>N24+N25+N26+N27</f>
        <v/>
      </c>
      <c r="O28" s="40">
        <f>O24+O25+O26+O27</f>
        <v/>
      </c>
      <c r="P28" s="40">
        <f>P24+P25+P26+P27</f>
        <v/>
      </c>
      <c r="Q28" s="40">
        <f>Q24+Q25+Q26+Q27</f>
        <v/>
      </c>
      <c r="R28" s="40">
        <f>R24+R25+R26+R27</f>
        <v/>
      </c>
      <c r="S28" s="40">
        <f>S24+S25+S26+S27</f>
        <v/>
      </c>
      <c r="T28" s="40">
        <f>T24+T25+T26+T27</f>
        <v/>
      </c>
      <c r="U28" s="40">
        <f>U24+U25+U26+U27</f>
        <v/>
      </c>
      <c r="V28" s="40">
        <f>V24+V25+V26+V27</f>
        <v/>
      </c>
      <c r="W28" s="40">
        <f>W24+W25+W26+W27</f>
        <v/>
      </c>
      <c r="X28" s="40">
        <f>X24+X25+X26+X27</f>
        <v/>
      </c>
      <c r="Y28" s="40">
        <f>Y24+Y25+Y26+Y27</f>
        <v/>
      </c>
    </row>
    <row r="29" ht="18" customHeight="1">
      <c r="A29" s="37" t="inlineStr">
        <is>
          <t>EBITDA</t>
        </is>
      </c>
      <c r="B29" s="38">
        <f>B21-B28</f>
        <v/>
      </c>
      <c r="C29" s="38">
        <f>C21-C28</f>
        <v/>
      </c>
      <c r="D29" s="38">
        <f>D21-D28</f>
        <v/>
      </c>
      <c r="E29" s="38">
        <f>E21-E28</f>
        <v/>
      </c>
      <c r="F29" s="38">
        <f>F21-F28</f>
        <v/>
      </c>
      <c r="G29" s="38">
        <f>G21-G28</f>
        <v/>
      </c>
      <c r="H29" s="38">
        <f>H21-H28</f>
        <v/>
      </c>
      <c r="I29" s="38">
        <f>I21-I28</f>
        <v/>
      </c>
      <c r="J29" s="38">
        <f>J21-J28</f>
        <v/>
      </c>
      <c r="K29" s="38">
        <f>K21-K28</f>
        <v/>
      </c>
      <c r="L29" s="38">
        <f>L21-L28</f>
        <v/>
      </c>
      <c r="M29" s="38">
        <f>M21-M28</f>
        <v/>
      </c>
      <c r="N29" s="38">
        <f>N21-N28</f>
        <v/>
      </c>
      <c r="O29" s="38">
        <f>O21-O28</f>
        <v/>
      </c>
      <c r="P29" s="38">
        <f>P21-P28</f>
        <v/>
      </c>
      <c r="Q29" s="38">
        <f>Q21-Q28</f>
        <v/>
      </c>
      <c r="R29" s="38">
        <f>R21-R28</f>
        <v/>
      </c>
      <c r="S29" s="38">
        <f>S21-S28</f>
        <v/>
      </c>
      <c r="T29" s="38">
        <f>T21-T28</f>
        <v/>
      </c>
      <c r="U29" s="38">
        <f>U21-U28</f>
        <v/>
      </c>
      <c r="V29" s="38">
        <f>V21-V28</f>
        <v/>
      </c>
      <c r="W29" s="38">
        <f>W21-W28</f>
        <v/>
      </c>
      <c r="X29" s="38">
        <f>X21-X28</f>
        <v/>
      </c>
      <c r="Y29" s="38">
        <f>Y21-Y28</f>
        <v/>
      </c>
    </row>
    <row r="30" ht="18" customHeight="1">
      <c r="A30" s="43" t="inlineStr">
        <is>
          <t>EBITDA Margin %</t>
        </is>
      </c>
      <c r="B30" s="44">
        <f>IFERROR(B29/B15,0)</f>
        <v/>
      </c>
      <c r="C30" s="44">
        <f>IFERROR(C29/C15,0)</f>
        <v/>
      </c>
      <c r="D30" s="44">
        <f>IFERROR(D29/D15,0)</f>
        <v/>
      </c>
      <c r="E30" s="44">
        <f>IFERROR(E29/E15,0)</f>
        <v/>
      </c>
      <c r="F30" s="44">
        <f>IFERROR(F29/F15,0)</f>
        <v/>
      </c>
      <c r="G30" s="44">
        <f>IFERROR(G29/G15,0)</f>
        <v/>
      </c>
      <c r="H30" s="44">
        <f>IFERROR(H29/H15,0)</f>
        <v/>
      </c>
      <c r="I30" s="44">
        <f>IFERROR(I29/I15,0)</f>
        <v/>
      </c>
      <c r="J30" s="44">
        <f>IFERROR(J29/J15,0)</f>
        <v/>
      </c>
      <c r="K30" s="44">
        <f>IFERROR(K29/K15,0)</f>
        <v/>
      </c>
      <c r="L30" s="44">
        <f>IFERROR(L29/L15,0)</f>
        <v/>
      </c>
      <c r="M30" s="44">
        <f>IFERROR(M29/M15,0)</f>
        <v/>
      </c>
      <c r="N30" s="44">
        <f>IFERROR(N29/N15,0)</f>
        <v/>
      </c>
      <c r="O30" s="44">
        <f>IFERROR(O29/O15,0)</f>
        <v/>
      </c>
      <c r="P30" s="44">
        <f>IFERROR(P29/P15,0)</f>
        <v/>
      </c>
      <c r="Q30" s="44">
        <f>IFERROR(Q29/Q15,0)</f>
        <v/>
      </c>
      <c r="R30" s="44">
        <f>IFERROR(R29/R15,0)</f>
        <v/>
      </c>
      <c r="S30" s="44">
        <f>IFERROR(S29/S15,0)</f>
        <v/>
      </c>
      <c r="T30" s="44">
        <f>IFERROR(T29/T15,0)</f>
        <v/>
      </c>
      <c r="U30" s="44">
        <f>IFERROR(U29/U15,0)</f>
        <v/>
      </c>
      <c r="V30" s="44">
        <f>IFERROR(V29/V15,0)</f>
        <v/>
      </c>
      <c r="W30" s="44">
        <f>IFERROR(W29/W15,0)</f>
        <v/>
      </c>
      <c r="X30" s="44">
        <f>IFERROR(X29/X15,0)</f>
        <v/>
      </c>
      <c r="Y30" s="44">
        <f>IFERROR(Y29/Y15,0)</f>
        <v/>
      </c>
    </row>
    <row r="31" ht="18" customHeight="1">
      <c r="A31" s="37" t="inlineStr">
        <is>
          <t>Накопленный денежный поток (CF)</t>
        </is>
      </c>
      <c r="B31" s="38">
        <f>B29</f>
        <v/>
      </c>
      <c r="C31" s="38">
        <f>B31+C29</f>
        <v/>
      </c>
      <c r="D31" s="38">
        <f>C31+D29</f>
        <v/>
      </c>
      <c r="E31" s="38">
        <f>D31+E29</f>
        <v/>
      </c>
      <c r="F31" s="38">
        <f>E31+F29</f>
        <v/>
      </c>
      <c r="G31" s="38">
        <f>F31+G29</f>
        <v/>
      </c>
      <c r="H31" s="38">
        <f>G31+H29</f>
        <v/>
      </c>
      <c r="I31" s="38">
        <f>H31+I29</f>
        <v/>
      </c>
      <c r="J31" s="38">
        <f>I31+J29</f>
        <v/>
      </c>
      <c r="K31" s="38">
        <f>J31+K29</f>
        <v/>
      </c>
      <c r="L31" s="38">
        <f>K31+L29</f>
        <v/>
      </c>
      <c r="M31" s="38">
        <f>L31+M29</f>
        <v/>
      </c>
      <c r="N31" s="38">
        <f>M31+N29</f>
        <v/>
      </c>
      <c r="O31" s="38">
        <f>N31+O29</f>
        <v/>
      </c>
      <c r="P31" s="38">
        <f>O31+P29</f>
        <v/>
      </c>
      <c r="Q31" s="38">
        <f>P31+Q29</f>
        <v/>
      </c>
      <c r="R31" s="38">
        <f>Q31+R29</f>
        <v/>
      </c>
      <c r="S31" s="38">
        <f>R31+S29</f>
        <v/>
      </c>
      <c r="T31" s="38">
        <f>S31+T29</f>
        <v/>
      </c>
      <c r="U31" s="38">
        <f>T31+U29</f>
        <v/>
      </c>
      <c r="V31" s="38">
        <f>U31+V29</f>
        <v/>
      </c>
      <c r="W31" s="38">
        <f>V31+W29</f>
        <v/>
      </c>
      <c r="X31" s="38">
        <f>W31+X29</f>
        <v/>
      </c>
      <c r="Y31" s="38">
        <f>X31+Y29</f>
        <v/>
      </c>
    </row>
  </sheetData>
  <mergeCells count="5">
    <mergeCell ref="A16:Y16"/>
    <mergeCell ref="A1:Y1"/>
    <mergeCell ref="A23:Y23"/>
    <mergeCell ref="A12:Y12"/>
    <mergeCell ref="A3:Y3"/>
  </mergeCells>
  <conditionalFormatting sqref="B29:Y2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31:Y31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6BC4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38" customWidth="1" min="5" max="5"/>
  </cols>
  <sheetData>
    <row r="1" ht="35" customHeight="1">
      <c r="A1" s="45" t="inlineStr">
        <is>
          <t>ЮНИТ-ЭКОНОМИКА — КЛЮЧЕВЫЕ МЕТРИКИ</t>
        </is>
      </c>
    </row>
    <row r="3" ht="22" customHeight="1">
      <c r="A3" s="3" t="inlineStr">
        <is>
          <t>💵  ARPU — СРЕДНИЙ ДОХОД НА ПОЛЬЗОВАТЕЛЯ</t>
        </is>
      </c>
    </row>
    <row r="4">
      <c r="A4" s="4" t="inlineStr">
        <is>
          <t>Метрика</t>
        </is>
      </c>
      <c r="B4" s="4" t="inlineStr">
        <is>
          <t>Значение</t>
        </is>
      </c>
      <c r="C4" s="4" t="inlineStr">
        <is>
          <t>Формула / Источник</t>
        </is>
      </c>
      <c r="D4" s="4" t="inlineStr">
        <is>
          <t>Бенчмарк</t>
        </is>
      </c>
    </row>
    <row r="5" ht="20" customHeight="1">
      <c r="A5" s="5" t="inlineStr">
        <is>
          <t>ARPU Премиум (ежемес.)</t>
        </is>
      </c>
      <c r="B5" s="12">
        <f>'📊 Параметры'!C6</f>
        <v/>
      </c>
      <c r="C5" s="46" t="inlineStr">
        <is>
          <t>Цена Премиум/мес</t>
        </is>
      </c>
      <c r="D5" s="2" t="inlineStr">
        <is>
          <t>300–600 ₽</t>
        </is>
      </c>
    </row>
    <row r="6" ht="20" customHeight="1">
      <c r="A6" s="5" t="inlineStr">
        <is>
          <t>ARPU Семейный (ежемес.)</t>
        </is>
      </c>
      <c r="B6" s="12">
        <f>'📊 Параметры'!D6</f>
        <v/>
      </c>
      <c r="C6" s="46" t="inlineStr">
        <is>
          <t>Цена Семейный/мес</t>
        </is>
      </c>
      <c r="D6" s="2" t="inlineStr">
        <is>
          <t>600–1 000 ₽</t>
        </is>
      </c>
    </row>
    <row r="7" ht="20" customHeight="1">
      <c r="A7" s="5" t="inlineStr">
        <is>
          <t>Blended ARPU (М12)</t>
        </is>
      </c>
      <c r="B7" s="12">
        <f>IFERROR('📈 P&amp;L 24 месяца'!M15/'📈 P&amp;L 24 месяца'!M11,0)</f>
        <v/>
      </c>
      <c r="C7" s="46" t="inlineStr">
        <is>
          <t>MRR M12 / Платящих M12</t>
        </is>
      </c>
      <c r="D7" s="2" t="inlineStr">
        <is>
          <t>450–650 ₽</t>
        </is>
      </c>
    </row>
    <row r="9" ht="22" customHeight="1">
      <c r="A9" s="3" t="inlineStr">
        <is>
          <t>🎯  CAC — СТОИМОСТЬ ПРИВЛЕЧЕНИЯ</t>
        </is>
      </c>
    </row>
    <row r="10" ht="20" customHeight="1">
      <c r="A10" s="5" t="inlineStr">
        <is>
          <t>Маркетинговый бюджет М1</t>
        </is>
      </c>
      <c r="B10" s="18">
        <f>'🔽 Воронка продаж'!B12</f>
        <v/>
      </c>
      <c r="C10" s="46" t="inlineStr">
        <is>
          <t>Из воронки продаж</t>
        </is>
      </c>
      <c r="D10" s="2" t="inlineStr"/>
    </row>
    <row r="11" ht="20" customHeight="1">
      <c r="A11" s="5" t="inlineStr">
        <is>
          <t>Установок М1</t>
        </is>
      </c>
      <c r="B11" s="18">
        <f>'🔽 Воронка продаж'!G12</f>
        <v/>
      </c>
      <c r="C11" s="46" t="inlineStr">
        <is>
          <t>Из воронки продаж</t>
        </is>
      </c>
      <c r="D11" s="2" t="inlineStr"/>
    </row>
    <row r="12" ht="20" customHeight="1">
      <c r="A12" s="5" t="inlineStr">
        <is>
          <t>CAC (стоимость установки)</t>
        </is>
      </c>
      <c r="B12" s="12">
        <f>IFERROR(B10/B11,0)</f>
        <v/>
      </c>
      <c r="C12" s="46" t="inlineStr">
        <is>
          <t>Бюджет / Установки</t>
        </is>
      </c>
      <c r="D12" s="2" t="inlineStr">
        <is>
          <t>80–300 ₽</t>
        </is>
      </c>
    </row>
    <row r="13" ht="20" customHeight="1">
      <c r="A13" s="5" t="inlineStr">
        <is>
          <t>Конверсия Install → Paying</t>
        </is>
      </c>
      <c r="B13" s="22">
        <f>'📊 Параметры'!H10+'📊 Параметры'!H11</f>
        <v/>
      </c>
      <c r="C13" s="46" t="inlineStr">
        <is>
          <t>Free→Prem + Free→Fam</t>
        </is>
      </c>
      <c r="D13" s="2" t="inlineStr">
        <is>
          <t>5–12%</t>
        </is>
      </c>
    </row>
    <row r="14" ht="20" customHeight="1">
      <c r="A14" s="5" t="inlineStr">
        <is>
          <t>CAC на платящего пользователя</t>
        </is>
      </c>
      <c r="B14" s="12">
        <f>IFERROR(B12/B13,0)</f>
        <v/>
      </c>
      <c r="C14" s="46" t="inlineStr">
        <is>
          <t>CAC / Conv rate</t>
        </is>
      </c>
      <c r="D14" s="2" t="inlineStr">
        <is>
          <t>700–3 000 ₽</t>
        </is>
      </c>
    </row>
    <row r="16" ht="22" customHeight="1">
      <c r="A16" s="3" t="inlineStr">
        <is>
          <t>📊  LTV — LIFETIME VALUE</t>
        </is>
      </c>
    </row>
    <row r="17" ht="20" customHeight="1">
      <c r="A17" s="5" t="inlineStr">
        <is>
          <t>Avg ARPU (blended)</t>
        </is>
      </c>
      <c r="B17" s="12">
        <f>B7</f>
        <v/>
      </c>
      <c r="C17" s="46" t="inlineStr">
        <is>
          <t>Blended ARPU</t>
        </is>
      </c>
      <c r="D17" s="2" t="inlineStr"/>
    </row>
    <row r="18" ht="20" customHeight="1">
      <c r="A18" s="5" t="inlineStr">
        <is>
          <t>Avg Churn (blended, мес %)</t>
        </is>
      </c>
      <c r="B18" s="22">
        <f>('📊 Параметры'!H13+'📊 Параметры'!H14)/2</f>
        <v/>
      </c>
      <c r="C18" s="46" t="inlineStr">
        <is>
          <t>Среднее Prem/Fam</t>
        </is>
      </c>
      <c r="D18" s="2" t="inlineStr">
        <is>
          <t>&lt;5%</t>
        </is>
      </c>
    </row>
    <row r="19" ht="20" customHeight="1">
      <c r="A19" s="5" t="inlineStr">
        <is>
          <t>Avg Lifetime (мес)</t>
        </is>
      </c>
      <c r="B19" s="12">
        <f>IFERROR(1/B18,0)</f>
        <v/>
      </c>
      <c r="C19" s="46" t="inlineStr">
        <is>
          <t>1 / Churn</t>
        </is>
      </c>
      <c r="D19" s="2" t="inlineStr">
        <is>
          <t>12–30 мес</t>
        </is>
      </c>
    </row>
    <row r="20" ht="20" customHeight="1">
      <c r="A20" s="5" t="inlineStr">
        <is>
          <t>Gross Margin (М12)</t>
        </is>
      </c>
      <c r="B20" s="22">
        <f>'📈 P&amp;L 24 месяца'!M22</f>
        <v/>
      </c>
      <c r="C20" s="46" t="inlineStr">
        <is>
          <t>Gross Margin на М12</t>
        </is>
      </c>
      <c r="D20" s="2" t="inlineStr">
        <is>
          <t>&gt;50%</t>
        </is>
      </c>
    </row>
    <row r="21" ht="20" customHeight="1">
      <c r="A21" s="5" t="inlineStr">
        <is>
          <t>LTV = ARPU × Lifetime × GM</t>
        </is>
      </c>
      <c r="B21" s="12">
        <f>B17*B19*B20</f>
        <v/>
      </c>
      <c r="C21" s="46" t="inlineStr">
        <is>
          <t>Lifetime Value</t>
        </is>
      </c>
      <c r="D21" s="2" t="inlineStr"/>
    </row>
    <row r="22" ht="20" customHeight="1">
      <c r="A22" s="47" t="inlineStr">
        <is>
          <t>LTV / CAC  ★</t>
        </is>
      </c>
      <c r="B22" s="48">
        <f>IFERROR(B21/B14,0)</f>
        <v/>
      </c>
      <c r="C22" s="46" t="inlineStr">
        <is>
          <t>Ключевой показатель</t>
        </is>
      </c>
      <c r="D22" s="2" t="inlineStr">
        <is>
          <t>&gt;3 — хорошо, &gt;5 — отлично</t>
        </is>
      </c>
    </row>
    <row r="23" ht="20" customHeight="1">
      <c r="A23" s="47" t="inlineStr">
        <is>
          <t>Payback Period (мес)  ★</t>
        </is>
      </c>
      <c r="B23" s="48">
        <f>IFERROR(B14/(B17*B20),0)</f>
        <v/>
      </c>
      <c r="C23" s="46" t="inlineStr">
        <is>
          <t>CAC / (ARPU × GM)</t>
        </is>
      </c>
      <c r="D23" s="2" t="inlineStr">
        <is>
          <t>&lt;12 мес</t>
        </is>
      </c>
    </row>
    <row r="25" ht="22" customHeight="1">
      <c r="A25" s="3" t="inlineStr">
        <is>
          <t>💲  СЕБЕСТОИМОСТЬ ПАКЕТА НА 1 ПОЛЬЗОВАТЕЛЯ В МЕСЯЦ</t>
        </is>
      </c>
    </row>
    <row r="26">
      <c r="A26" s="4" t="inlineStr">
        <is>
          <t>Статья затрат</t>
        </is>
      </c>
      <c r="B26" s="4" t="inlineStr">
        <is>
          <t>Free</t>
        </is>
      </c>
      <c r="C26" s="4" t="inlineStr">
        <is>
          <t>Премиум</t>
        </is>
      </c>
      <c r="D26" s="4" t="inlineStr">
        <is>
          <t>Семейный</t>
        </is>
      </c>
      <c r="E26" s="4" t="inlineStr">
        <is>
          <t>Расчёт</t>
        </is>
      </c>
    </row>
    <row r="27" ht="20" customHeight="1">
      <c r="A27" s="5" t="inlineStr">
        <is>
          <t>Генерация историй (LLM)</t>
        </is>
      </c>
      <c r="B27" s="12">
        <f>0.005*3*'📊 Параметры'!B26</f>
        <v/>
      </c>
      <c r="C27" s="12">
        <f>0.005*15*'📊 Параметры'!B26</f>
        <v/>
      </c>
      <c r="D27" s="12">
        <f>0.005*20*'📊 Параметры'!B26</f>
        <v/>
      </c>
    </row>
    <row r="28" ht="20" customHeight="1">
      <c r="A28" s="5" t="inlineStr">
        <is>
          <t>Иллюстрации AI</t>
        </is>
      </c>
      <c r="B28" s="12">
        <f>0</f>
        <v/>
      </c>
      <c r="C28" s="12">
        <f>0.040*5*'📊 Параметры'!B26</f>
        <v/>
      </c>
      <c r="D28" s="12">
        <f>0.040*8*'📊 Параметры'!B26</f>
        <v/>
      </c>
    </row>
    <row r="29" ht="20" customHeight="1">
      <c r="A29" s="5" t="inlineStr">
        <is>
          <t>Обработка личных фото AI</t>
        </is>
      </c>
      <c r="B29" s="12">
        <f>0</f>
        <v/>
      </c>
      <c r="C29" s="12">
        <f>0</f>
        <v/>
      </c>
      <c r="D29" s="12">
        <f>0.080*3*'📊 Параметры'!B26</f>
        <v/>
      </c>
    </row>
    <row r="30" ht="20" customHeight="1">
      <c r="A30" s="5" t="inlineStr">
        <is>
          <t>Голосовая озвучка (TTS)</t>
        </is>
      </c>
      <c r="B30" s="12">
        <f>0</f>
        <v/>
      </c>
      <c r="C30" s="12">
        <f>0</f>
        <v/>
      </c>
      <c r="D30" s="12">
        <f>0.015*8*'📊 Параметры'!B26</f>
        <v/>
      </c>
    </row>
    <row r="31" ht="20" customHeight="1">
      <c r="A31" s="5" t="inlineStr">
        <is>
          <t>Storage / CDN</t>
        </is>
      </c>
      <c r="B31" s="12">
        <f>0.005*'📊 Параметры'!B26</f>
        <v/>
      </c>
      <c r="C31" s="12">
        <f>0.020*'📊 Параметры'!B26</f>
        <v/>
      </c>
      <c r="D31" s="12">
        <f>0.040*'📊 Параметры'!B26</f>
        <v/>
      </c>
    </row>
    <row r="32" ht="20" customHeight="1">
      <c r="A32" s="5" t="inlineStr">
        <is>
          <t>Инфраструктура (на польз.)</t>
        </is>
      </c>
      <c r="B32" s="12">
        <f>'💸 Расходы'!D29/500</f>
        <v/>
      </c>
      <c r="C32" s="12">
        <f>'💸 Расходы'!D29/500</f>
        <v/>
      </c>
      <c r="D32" s="12">
        <f>'💸 Расходы'!D29/500</f>
        <v/>
      </c>
    </row>
    <row r="33" ht="20" customHeight="1">
      <c r="A33" s="5" t="inlineStr">
        <is>
          <t>Поддержка (пропорц.)</t>
        </is>
      </c>
      <c r="B33" s="12">
        <f>0</f>
        <v/>
      </c>
      <c r="C33" s="12">
        <f>10000/200</f>
        <v/>
      </c>
      <c r="D33" s="12">
        <f>15000/100</f>
        <v/>
      </c>
    </row>
    <row r="34" ht="20" customHeight="1">
      <c r="A34" s="5" t="inlineStr">
        <is>
          <t>Платёжная комиссия (2.5%)</t>
        </is>
      </c>
      <c r="B34" s="12">
        <f>0</f>
        <v/>
      </c>
      <c r="C34" s="12">
        <f>'📊 Параметры'!C6*0.025</f>
        <v/>
      </c>
      <c r="D34" s="12">
        <f>'📊 Параметры'!D6*0.025</f>
        <v/>
      </c>
    </row>
    <row r="35" ht="20" customHeight="1">
      <c r="A35" s="5" t="inlineStr">
        <is>
          <t>App Store/GP комиссия (30%)</t>
        </is>
      </c>
      <c r="B35" s="12">
        <f>0</f>
        <v/>
      </c>
      <c r="C35" s="12">
        <f>'📊 Параметры'!C6*0.30</f>
        <v/>
      </c>
      <c r="D35" s="12">
        <f>'📊 Параметры'!D6*0.30</f>
        <v/>
      </c>
    </row>
    <row r="36" ht="22" customHeight="1">
      <c r="A36" s="19" t="inlineStr">
        <is>
          <t>ИТОГО СЕБЕСТОИМОСТЬ (руб/польз./мес)</t>
        </is>
      </c>
      <c r="B36" s="49">
        <f>SUM(B27:B35)</f>
        <v/>
      </c>
      <c r="C36" s="49">
        <f>SUM(C27:C35)</f>
        <v/>
      </c>
      <c r="D36" s="49">
        <f>SUM(D27:D35)</f>
        <v/>
      </c>
    </row>
    <row r="37" ht="20" customHeight="1">
      <c r="A37" s="13" t="inlineStr">
        <is>
          <t>Маржа на пользователя (руб/мес)</t>
        </is>
      </c>
      <c r="B37" s="15">
        <f>0-B36</f>
        <v/>
      </c>
      <c r="C37" s="15">
        <f>'📊 Параметры'!C6-C36</f>
        <v/>
      </c>
      <c r="D37" s="15">
        <f>'📊 Параметры'!D6-D36</f>
        <v/>
      </c>
    </row>
    <row r="38" ht="20" customHeight="1">
      <c r="A38" s="13" t="inlineStr">
        <is>
          <t>Маржинальность (%)</t>
        </is>
      </c>
      <c r="B38" t="inlineStr">
        <is>
          <t>—</t>
        </is>
      </c>
      <c r="C38" s="50">
        <f>IFERROR(C37/'📊 Параметры'!C6,0)</f>
        <v/>
      </c>
      <c r="D38" s="50">
        <f>IFERROR(D37/'📊 Параметры'!D6,0)</f>
        <v/>
      </c>
    </row>
    <row r="41" ht="22" customHeight="1">
      <c r="A41" s="3" t="inlineStr">
        <is>
          <t>🧾  СРЕДНИЙ ЧЕК</t>
        </is>
      </c>
    </row>
    <row r="42" ht="20" customHeight="1">
      <c r="A42" s="5" t="inlineStr">
        <is>
          <t>Ср. чек Премиум, ежемес.</t>
        </is>
      </c>
      <c r="B42" s="12">
        <f>'📊 Параметры'!C6</f>
        <v/>
      </c>
    </row>
    <row r="43" ht="20" customHeight="1">
      <c r="A43" s="5" t="inlineStr">
        <is>
          <t>Ср. чек Семейный, ежемес.</t>
        </is>
      </c>
      <c r="B43" s="12">
        <f>'📊 Параметры'!D6</f>
        <v/>
      </c>
    </row>
    <row r="44" ht="20" customHeight="1">
      <c r="A44" s="5" t="inlineStr">
        <is>
          <t>Ср. чек Премиум, годовой</t>
        </is>
      </c>
      <c r="B44" s="12">
        <f>'📊 Параметры'!C7</f>
        <v/>
      </c>
    </row>
    <row r="45" ht="20" customHeight="1">
      <c r="A45" s="5" t="inlineStr">
        <is>
          <t>Ср. чек Семейный, годовой</t>
        </is>
      </c>
      <c r="B45" s="12">
        <f>'📊 Параметры'!D7</f>
        <v/>
      </c>
    </row>
    <row r="46" ht="20" customHeight="1">
      <c r="A46" s="5" t="inlineStr">
        <is>
          <t>Blended ср. чек (М12)</t>
        </is>
      </c>
      <c r="B46" s="12">
        <f>IFERROR('📈 P&amp;L 24 месяца'!M15/('📈 P&amp;L 24 месяца'!M9+'📈 P&amp;L 24 месяца'!M10),0)</f>
        <v/>
      </c>
    </row>
  </sheetData>
  <mergeCells count="6">
    <mergeCell ref="A16:E16"/>
    <mergeCell ref="A1:F1"/>
    <mergeCell ref="A41:E41"/>
    <mergeCell ref="A9:E9"/>
    <mergeCell ref="A25:F2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4" customWidth="1" min="5" max="5"/>
    <col width="15" customWidth="1" min="6" max="6"/>
    <col width="10" customWidth="1" min="7" max="7"/>
    <col width="16" customWidth="1" min="8" max="8"/>
  </cols>
  <sheetData>
    <row r="1" ht="35" customHeight="1">
      <c r="A1" s="45" t="inlineStr">
        <is>
          <t>KPI DASHBOARD — КЛЮЧЕВЫЕ ПОКАЗАТЕЛИ</t>
        </is>
      </c>
    </row>
    <row r="2" ht="20" customHeight="1">
      <c r="A2" s="51" t="inlineStr">
        <is>
          <t xml:space="preserve">  Данные приведены на Месяц 12 (эталонный период)</t>
        </is>
      </c>
    </row>
    <row r="4" ht="30" customHeight="1">
      <c r="A4" s="52" t="inlineStr">
        <is>
          <t>MRR (М12)
Месячная выручка</t>
        </is>
      </c>
      <c r="C4" s="52" t="inlineStr">
        <is>
          <t>Платящих (М12)</t>
        </is>
      </c>
      <c r="E4" s="52" t="inlineStr">
        <is>
          <t>Установок (М12)</t>
        </is>
      </c>
      <c r="G4" s="52" t="inlineStr">
        <is>
          <t>EBITDA (М12)</t>
        </is>
      </c>
    </row>
    <row r="5" ht="38" customHeight="1">
      <c r="A5" s="53">
        <f>'📈 P&amp;L 24 месяца'!M15</f>
        <v/>
      </c>
      <c r="C5" s="54">
        <f>'📈 P&amp;L 24 месяца'!M11</f>
        <v/>
      </c>
      <c r="E5" s="54">
        <f>'📈 P&amp;L 24 месяца'!M4</f>
        <v/>
      </c>
      <c r="G5" s="53">
        <f>'📈 P&amp;L 24 месяца'!M29</f>
        <v/>
      </c>
    </row>
    <row r="6" ht="18" customHeight="1">
      <c r="A6" s="55" t="inlineStr">
        <is>
          <t>Цель: 1 000 000 ₽</t>
        </is>
      </c>
      <c r="C6" s="55" t="inlineStr">
        <is>
          <t>Цель: 500+</t>
        </is>
      </c>
      <c r="E6" s="55" t="inlineStr">
        <is>
          <t>Цель: 2 000+</t>
        </is>
      </c>
      <c r="G6" s="55" t="inlineStr">
        <is>
          <t>Цель: &gt; 0 ₽</t>
        </is>
      </c>
    </row>
    <row r="9" ht="30" customHeight="1">
      <c r="A9" s="52" t="inlineStr">
        <is>
          <t>LTV / CAC ★</t>
        </is>
      </c>
      <c r="C9" s="52" t="inlineStr">
        <is>
          <t>CAC на платящего</t>
        </is>
      </c>
      <c r="E9" s="52" t="inlineStr">
        <is>
          <t>Payback Period (мес)</t>
        </is>
      </c>
      <c r="G9" s="52" t="inlineStr">
        <is>
          <t>Gross Margin (М12)</t>
        </is>
      </c>
    </row>
    <row r="10" ht="38" customHeight="1">
      <c r="A10" s="56">
        <f>'🎯 Unit Economics'!B22</f>
        <v/>
      </c>
      <c r="C10" s="53">
        <f>'🎯 Unit Economics'!B14</f>
        <v/>
      </c>
      <c r="E10" s="57">
        <f>'🎯 Unit Economics'!B23</f>
        <v/>
      </c>
      <c r="G10" s="58">
        <f>'📈 P&amp;L 24 месяца'!M22</f>
        <v/>
      </c>
    </row>
    <row r="11" ht="18" customHeight="1">
      <c r="A11" s="55" t="inlineStr">
        <is>
          <t>Цель: &gt;3x</t>
        </is>
      </c>
      <c r="C11" s="55" t="inlineStr">
        <is>
          <t>Цель: &lt; 2 000 ₽</t>
        </is>
      </c>
      <c r="E11" s="55" t="inlineStr">
        <is>
          <t>Цель: &lt; 12 мес</t>
        </is>
      </c>
      <c r="G11" s="55" t="inlineStr">
        <is>
          <t>Цель: &gt; 50%</t>
        </is>
      </c>
    </row>
    <row r="14" ht="30" customHeight="1">
      <c r="A14" s="52" t="inlineStr">
        <is>
          <t>Blended ARPU (М12)</t>
        </is>
      </c>
      <c r="C14" s="52" t="inlineStr">
        <is>
          <t>Конверсия Free→Pay</t>
        </is>
      </c>
      <c r="E14" s="52" t="inlineStr">
        <is>
          <t>Avg Churn (мес)</t>
        </is>
      </c>
      <c r="G14" s="52" t="inlineStr">
        <is>
          <t>ARR (М12 × 12)</t>
        </is>
      </c>
    </row>
    <row r="15" ht="38" customHeight="1">
      <c r="A15" s="53">
        <f>'🎯 Unit Economics'!B7</f>
        <v/>
      </c>
      <c r="C15" s="58">
        <f>'📊 Параметры'!H10+'📊 Параметры'!H11</f>
        <v/>
      </c>
      <c r="E15" s="58">
        <f>('📊 Параметры'!H13+'📊 Параметры'!H14)/2</f>
        <v/>
      </c>
      <c r="G15" s="53">
        <f>'📈 P&amp;L 24 месяца'!M15*12</f>
        <v/>
      </c>
    </row>
    <row r="16" ht="18" customHeight="1">
      <c r="A16" s="55" t="inlineStr">
        <is>
          <t>Цель: 450+ ₽</t>
        </is>
      </c>
      <c r="C16" s="55" t="inlineStr">
        <is>
          <t>Цель: &gt; 8%</t>
        </is>
      </c>
      <c r="E16" s="55" t="inlineStr">
        <is>
          <t>Цель: &lt; 5%</t>
        </is>
      </c>
      <c r="G16" s="55" t="inlineStr">
        <is>
          <t>Цель: 12 000 000 ₽</t>
        </is>
      </c>
    </row>
    <row r="19" ht="25" customHeight="1">
      <c r="A19" s="59" t="inlineStr">
        <is>
          <t>📊  СВОДНАЯ ТАБЛИЦА ПО МЕСЯЦАМ (М1–М24)</t>
        </is>
      </c>
    </row>
    <row r="20" ht="20" customHeight="1">
      <c r="A20" s="4" t="inlineStr">
        <is>
          <t>Месяц</t>
        </is>
      </c>
      <c r="B20" s="4" t="inlineStr">
        <is>
          <t>Установки</t>
        </is>
      </c>
      <c r="C20" s="4" t="inlineStr">
        <is>
          <t>Платящих</t>
        </is>
      </c>
      <c r="D20" s="4" t="inlineStr">
        <is>
          <t>MRR (руб)</t>
        </is>
      </c>
      <c r="E20" s="4" t="inlineStr">
        <is>
          <t>OpEx (руб)</t>
        </is>
      </c>
      <c r="F20" s="4" t="inlineStr">
        <is>
          <t>EBITDA (руб)</t>
        </is>
      </c>
      <c r="G20" s="4" t="inlineStr">
        <is>
          <t>EBITDA %</t>
        </is>
      </c>
      <c r="H20" s="4" t="inlineStr">
        <is>
          <t>Накопл. CF</t>
        </is>
      </c>
    </row>
    <row r="21" ht="18" customHeight="1">
      <c r="A21" s="60" t="inlineStr">
        <is>
          <t>М1</t>
        </is>
      </c>
      <c r="B21" s="61">
        <f>'📈 P&amp;L 24 месяца'!B4</f>
        <v/>
      </c>
      <c r="C21" s="61">
        <f>'📈 P&amp;L 24 месяца'!B11</f>
        <v/>
      </c>
      <c r="D21" s="61">
        <f>'📈 P&amp;L 24 месяца'!B15</f>
        <v/>
      </c>
      <c r="E21" s="61">
        <f>'📈 P&amp;L 24 месяца'!B28</f>
        <v/>
      </c>
      <c r="F21" s="61">
        <f>'📈 P&amp;L 24 месяца'!B29</f>
        <v/>
      </c>
      <c r="G21" s="62">
        <f>'📈 P&amp;L 24 месяца'!B30</f>
        <v/>
      </c>
      <c r="H21" s="61">
        <f>'📈 P&amp;L 24 месяца'!B31</f>
        <v/>
      </c>
    </row>
    <row r="22" ht="18" customHeight="1">
      <c r="A22" s="60" t="inlineStr">
        <is>
          <t>М2</t>
        </is>
      </c>
      <c r="B22" s="63">
        <f>'📈 P&amp;L 24 месяца'!C4</f>
        <v/>
      </c>
      <c r="C22" s="63">
        <f>'📈 P&amp;L 24 месяца'!C11</f>
        <v/>
      </c>
      <c r="D22" s="63">
        <f>'📈 P&amp;L 24 месяца'!C15</f>
        <v/>
      </c>
      <c r="E22" s="63">
        <f>'📈 P&amp;L 24 месяца'!C28</f>
        <v/>
      </c>
      <c r="F22" s="63">
        <f>'📈 P&amp;L 24 месяца'!C29</f>
        <v/>
      </c>
      <c r="G22" s="64">
        <f>'📈 P&amp;L 24 месяца'!C30</f>
        <v/>
      </c>
      <c r="H22" s="63">
        <f>'📈 P&amp;L 24 месяца'!C31</f>
        <v/>
      </c>
    </row>
    <row r="23" ht="18" customHeight="1">
      <c r="A23" s="60" t="inlineStr">
        <is>
          <t>М3</t>
        </is>
      </c>
      <c r="B23" s="61">
        <f>'📈 P&amp;L 24 месяца'!D4</f>
        <v/>
      </c>
      <c r="C23" s="61">
        <f>'📈 P&amp;L 24 месяца'!D11</f>
        <v/>
      </c>
      <c r="D23" s="61">
        <f>'📈 P&amp;L 24 месяца'!D15</f>
        <v/>
      </c>
      <c r="E23" s="61">
        <f>'📈 P&amp;L 24 месяца'!D28</f>
        <v/>
      </c>
      <c r="F23" s="61">
        <f>'📈 P&amp;L 24 месяца'!D29</f>
        <v/>
      </c>
      <c r="G23" s="62">
        <f>'📈 P&amp;L 24 месяца'!D30</f>
        <v/>
      </c>
      <c r="H23" s="61">
        <f>'📈 P&amp;L 24 месяца'!D31</f>
        <v/>
      </c>
    </row>
    <row r="24" ht="18" customHeight="1">
      <c r="A24" s="60" t="inlineStr">
        <is>
          <t>М4</t>
        </is>
      </c>
      <c r="B24" s="63">
        <f>'📈 P&amp;L 24 месяца'!E4</f>
        <v/>
      </c>
      <c r="C24" s="63">
        <f>'📈 P&amp;L 24 месяца'!E11</f>
        <v/>
      </c>
      <c r="D24" s="63">
        <f>'📈 P&amp;L 24 месяца'!E15</f>
        <v/>
      </c>
      <c r="E24" s="63">
        <f>'📈 P&amp;L 24 месяца'!E28</f>
        <v/>
      </c>
      <c r="F24" s="63">
        <f>'📈 P&amp;L 24 месяца'!E29</f>
        <v/>
      </c>
      <c r="G24" s="64">
        <f>'📈 P&amp;L 24 месяца'!E30</f>
        <v/>
      </c>
      <c r="H24" s="63">
        <f>'📈 P&amp;L 24 месяца'!E31</f>
        <v/>
      </c>
    </row>
    <row r="25" ht="18" customHeight="1">
      <c r="A25" s="60" t="inlineStr">
        <is>
          <t>М5</t>
        </is>
      </c>
      <c r="B25" s="61">
        <f>'📈 P&amp;L 24 месяца'!F4</f>
        <v/>
      </c>
      <c r="C25" s="61">
        <f>'📈 P&amp;L 24 месяца'!F11</f>
        <v/>
      </c>
      <c r="D25" s="61">
        <f>'📈 P&amp;L 24 месяца'!F15</f>
        <v/>
      </c>
      <c r="E25" s="61">
        <f>'📈 P&amp;L 24 месяца'!F28</f>
        <v/>
      </c>
      <c r="F25" s="61">
        <f>'📈 P&amp;L 24 месяца'!F29</f>
        <v/>
      </c>
      <c r="G25" s="62">
        <f>'📈 P&amp;L 24 месяца'!F30</f>
        <v/>
      </c>
      <c r="H25" s="61">
        <f>'📈 P&amp;L 24 месяца'!F31</f>
        <v/>
      </c>
    </row>
    <row r="26" ht="18" customHeight="1">
      <c r="A26" s="60" t="inlineStr">
        <is>
          <t>М6</t>
        </is>
      </c>
      <c r="B26" s="63">
        <f>'📈 P&amp;L 24 месяца'!G4</f>
        <v/>
      </c>
      <c r="C26" s="63">
        <f>'📈 P&amp;L 24 месяца'!G11</f>
        <v/>
      </c>
      <c r="D26" s="63">
        <f>'📈 P&amp;L 24 месяца'!G15</f>
        <v/>
      </c>
      <c r="E26" s="63">
        <f>'📈 P&amp;L 24 месяца'!G28</f>
        <v/>
      </c>
      <c r="F26" s="63">
        <f>'📈 P&amp;L 24 месяца'!G29</f>
        <v/>
      </c>
      <c r="G26" s="64">
        <f>'📈 P&amp;L 24 месяца'!G30</f>
        <v/>
      </c>
      <c r="H26" s="63">
        <f>'📈 P&amp;L 24 месяца'!G31</f>
        <v/>
      </c>
    </row>
    <row r="27" ht="18" customHeight="1">
      <c r="A27" s="60" t="inlineStr">
        <is>
          <t>М7</t>
        </is>
      </c>
      <c r="B27" s="61">
        <f>'📈 P&amp;L 24 месяца'!H4</f>
        <v/>
      </c>
      <c r="C27" s="61">
        <f>'📈 P&amp;L 24 месяца'!H11</f>
        <v/>
      </c>
      <c r="D27" s="61">
        <f>'📈 P&amp;L 24 месяца'!H15</f>
        <v/>
      </c>
      <c r="E27" s="61">
        <f>'📈 P&amp;L 24 месяца'!H28</f>
        <v/>
      </c>
      <c r="F27" s="61">
        <f>'📈 P&amp;L 24 месяца'!H29</f>
        <v/>
      </c>
      <c r="G27" s="62">
        <f>'📈 P&amp;L 24 месяца'!H30</f>
        <v/>
      </c>
      <c r="H27" s="61">
        <f>'📈 P&amp;L 24 месяца'!H31</f>
        <v/>
      </c>
    </row>
    <row r="28" ht="18" customHeight="1">
      <c r="A28" s="60" t="inlineStr">
        <is>
          <t>М8</t>
        </is>
      </c>
      <c r="B28" s="63">
        <f>'📈 P&amp;L 24 месяца'!I4</f>
        <v/>
      </c>
      <c r="C28" s="63">
        <f>'📈 P&amp;L 24 месяца'!I11</f>
        <v/>
      </c>
      <c r="D28" s="63">
        <f>'📈 P&amp;L 24 месяца'!I15</f>
        <v/>
      </c>
      <c r="E28" s="63">
        <f>'📈 P&amp;L 24 месяца'!I28</f>
        <v/>
      </c>
      <c r="F28" s="63">
        <f>'📈 P&amp;L 24 месяца'!I29</f>
        <v/>
      </c>
      <c r="G28" s="64">
        <f>'📈 P&amp;L 24 месяца'!I30</f>
        <v/>
      </c>
      <c r="H28" s="63">
        <f>'📈 P&amp;L 24 месяца'!I31</f>
        <v/>
      </c>
    </row>
    <row r="29" ht="18" customHeight="1">
      <c r="A29" s="60" t="inlineStr">
        <is>
          <t>М9</t>
        </is>
      </c>
      <c r="B29" s="61">
        <f>'📈 P&amp;L 24 месяца'!J4</f>
        <v/>
      </c>
      <c r="C29" s="61">
        <f>'📈 P&amp;L 24 месяца'!J11</f>
        <v/>
      </c>
      <c r="D29" s="61">
        <f>'📈 P&amp;L 24 месяца'!J15</f>
        <v/>
      </c>
      <c r="E29" s="61">
        <f>'📈 P&amp;L 24 месяца'!J28</f>
        <v/>
      </c>
      <c r="F29" s="61">
        <f>'📈 P&amp;L 24 месяца'!J29</f>
        <v/>
      </c>
      <c r="G29" s="62">
        <f>'📈 P&amp;L 24 месяца'!J30</f>
        <v/>
      </c>
      <c r="H29" s="61">
        <f>'📈 P&amp;L 24 месяца'!J31</f>
        <v/>
      </c>
    </row>
    <row r="30" ht="18" customHeight="1">
      <c r="A30" s="60" t="inlineStr">
        <is>
          <t>М10</t>
        </is>
      </c>
      <c r="B30" s="63">
        <f>'📈 P&amp;L 24 месяца'!K4</f>
        <v/>
      </c>
      <c r="C30" s="63">
        <f>'📈 P&amp;L 24 месяца'!K11</f>
        <v/>
      </c>
      <c r="D30" s="63">
        <f>'📈 P&amp;L 24 месяца'!K15</f>
        <v/>
      </c>
      <c r="E30" s="63">
        <f>'📈 P&amp;L 24 месяца'!K28</f>
        <v/>
      </c>
      <c r="F30" s="63">
        <f>'📈 P&amp;L 24 месяца'!K29</f>
        <v/>
      </c>
      <c r="G30" s="64">
        <f>'📈 P&amp;L 24 месяца'!K30</f>
        <v/>
      </c>
      <c r="H30" s="63">
        <f>'📈 P&amp;L 24 месяца'!K31</f>
        <v/>
      </c>
    </row>
    <row r="31" ht="18" customHeight="1">
      <c r="A31" s="60" t="inlineStr">
        <is>
          <t>М11</t>
        </is>
      </c>
      <c r="B31" s="61">
        <f>'📈 P&amp;L 24 месяца'!L4</f>
        <v/>
      </c>
      <c r="C31" s="61">
        <f>'📈 P&amp;L 24 месяца'!L11</f>
        <v/>
      </c>
      <c r="D31" s="61">
        <f>'📈 P&amp;L 24 месяца'!L15</f>
        <v/>
      </c>
      <c r="E31" s="61">
        <f>'📈 P&amp;L 24 месяца'!L28</f>
        <v/>
      </c>
      <c r="F31" s="61">
        <f>'📈 P&amp;L 24 месяца'!L29</f>
        <v/>
      </c>
      <c r="G31" s="62">
        <f>'📈 P&amp;L 24 месяца'!L30</f>
        <v/>
      </c>
      <c r="H31" s="61">
        <f>'📈 P&amp;L 24 месяца'!L31</f>
        <v/>
      </c>
    </row>
    <row r="32" ht="18" customHeight="1">
      <c r="A32" s="60" t="inlineStr">
        <is>
          <t>М12</t>
        </is>
      </c>
      <c r="B32" s="63">
        <f>'📈 P&amp;L 24 месяца'!M4</f>
        <v/>
      </c>
      <c r="C32" s="63">
        <f>'📈 P&amp;L 24 месяца'!M11</f>
        <v/>
      </c>
      <c r="D32" s="63">
        <f>'📈 P&amp;L 24 месяца'!M15</f>
        <v/>
      </c>
      <c r="E32" s="63">
        <f>'📈 P&amp;L 24 месяца'!M28</f>
        <v/>
      </c>
      <c r="F32" s="63">
        <f>'📈 P&amp;L 24 месяца'!M29</f>
        <v/>
      </c>
      <c r="G32" s="64">
        <f>'📈 P&amp;L 24 месяца'!M30</f>
        <v/>
      </c>
      <c r="H32" s="63">
        <f>'📈 P&amp;L 24 месяца'!M31</f>
        <v/>
      </c>
    </row>
    <row r="33" ht="18" customHeight="1">
      <c r="A33" s="60" t="inlineStr">
        <is>
          <t>М13</t>
        </is>
      </c>
      <c r="B33" s="61">
        <f>'📈 P&amp;L 24 месяца'!N4</f>
        <v/>
      </c>
      <c r="C33" s="61">
        <f>'📈 P&amp;L 24 месяца'!N11</f>
        <v/>
      </c>
      <c r="D33" s="61">
        <f>'📈 P&amp;L 24 месяца'!N15</f>
        <v/>
      </c>
      <c r="E33" s="61">
        <f>'📈 P&amp;L 24 месяца'!N28</f>
        <v/>
      </c>
      <c r="F33" s="61">
        <f>'📈 P&amp;L 24 месяца'!N29</f>
        <v/>
      </c>
      <c r="G33" s="62">
        <f>'📈 P&amp;L 24 месяца'!N30</f>
        <v/>
      </c>
      <c r="H33" s="61">
        <f>'📈 P&amp;L 24 месяца'!N31</f>
        <v/>
      </c>
    </row>
    <row r="34" ht="18" customHeight="1">
      <c r="A34" s="60" t="inlineStr">
        <is>
          <t>М14</t>
        </is>
      </c>
      <c r="B34" s="63">
        <f>'📈 P&amp;L 24 месяца'!O4</f>
        <v/>
      </c>
      <c r="C34" s="63">
        <f>'📈 P&amp;L 24 месяца'!O11</f>
        <v/>
      </c>
      <c r="D34" s="63">
        <f>'📈 P&amp;L 24 месяца'!O15</f>
        <v/>
      </c>
      <c r="E34" s="63">
        <f>'📈 P&amp;L 24 месяца'!O28</f>
        <v/>
      </c>
      <c r="F34" s="63">
        <f>'📈 P&amp;L 24 месяца'!O29</f>
        <v/>
      </c>
      <c r="G34" s="64">
        <f>'📈 P&amp;L 24 месяца'!O30</f>
        <v/>
      </c>
      <c r="H34" s="63">
        <f>'📈 P&amp;L 24 месяца'!O31</f>
        <v/>
      </c>
    </row>
    <row r="35" ht="18" customHeight="1">
      <c r="A35" s="60" t="inlineStr">
        <is>
          <t>М15</t>
        </is>
      </c>
      <c r="B35" s="61">
        <f>'📈 P&amp;L 24 месяца'!P4</f>
        <v/>
      </c>
      <c r="C35" s="61">
        <f>'📈 P&amp;L 24 месяца'!P11</f>
        <v/>
      </c>
      <c r="D35" s="61">
        <f>'📈 P&amp;L 24 месяца'!P15</f>
        <v/>
      </c>
      <c r="E35" s="61">
        <f>'📈 P&amp;L 24 месяца'!P28</f>
        <v/>
      </c>
      <c r="F35" s="61">
        <f>'📈 P&amp;L 24 месяца'!P29</f>
        <v/>
      </c>
      <c r="G35" s="62">
        <f>'📈 P&amp;L 24 месяца'!P30</f>
        <v/>
      </c>
      <c r="H35" s="61">
        <f>'📈 P&amp;L 24 месяца'!P31</f>
        <v/>
      </c>
    </row>
    <row r="36" ht="18" customHeight="1">
      <c r="A36" s="60" t="inlineStr">
        <is>
          <t>М16</t>
        </is>
      </c>
      <c r="B36" s="63">
        <f>'📈 P&amp;L 24 месяца'!Q4</f>
        <v/>
      </c>
      <c r="C36" s="63">
        <f>'📈 P&amp;L 24 месяца'!Q11</f>
        <v/>
      </c>
      <c r="D36" s="63">
        <f>'📈 P&amp;L 24 месяца'!Q15</f>
        <v/>
      </c>
      <c r="E36" s="63">
        <f>'📈 P&amp;L 24 месяца'!Q28</f>
        <v/>
      </c>
      <c r="F36" s="63">
        <f>'📈 P&amp;L 24 месяца'!Q29</f>
        <v/>
      </c>
      <c r="G36" s="64">
        <f>'📈 P&amp;L 24 месяца'!Q30</f>
        <v/>
      </c>
      <c r="H36" s="63">
        <f>'📈 P&amp;L 24 месяца'!Q31</f>
        <v/>
      </c>
    </row>
    <row r="37" ht="18" customHeight="1">
      <c r="A37" s="60" t="inlineStr">
        <is>
          <t>М17</t>
        </is>
      </c>
      <c r="B37" s="61">
        <f>'📈 P&amp;L 24 месяца'!R4</f>
        <v/>
      </c>
      <c r="C37" s="61">
        <f>'📈 P&amp;L 24 месяца'!R11</f>
        <v/>
      </c>
      <c r="D37" s="61">
        <f>'📈 P&amp;L 24 месяца'!R15</f>
        <v/>
      </c>
      <c r="E37" s="61">
        <f>'📈 P&amp;L 24 месяца'!R28</f>
        <v/>
      </c>
      <c r="F37" s="61">
        <f>'📈 P&amp;L 24 месяца'!R29</f>
        <v/>
      </c>
      <c r="G37" s="62">
        <f>'📈 P&amp;L 24 месяца'!R30</f>
        <v/>
      </c>
      <c r="H37" s="61">
        <f>'📈 P&amp;L 24 месяца'!R31</f>
        <v/>
      </c>
    </row>
    <row r="38" ht="18" customHeight="1">
      <c r="A38" s="60" t="inlineStr">
        <is>
          <t>М18</t>
        </is>
      </c>
      <c r="B38" s="63">
        <f>'📈 P&amp;L 24 месяца'!S4</f>
        <v/>
      </c>
      <c r="C38" s="63">
        <f>'📈 P&amp;L 24 месяца'!S11</f>
        <v/>
      </c>
      <c r="D38" s="63">
        <f>'📈 P&amp;L 24 месяца'!S15</f>
        <v/>
      </c>
      <c r="E38" s="63">
        <f>'📈 P&amp;L 24 месяца'!S28</f>
        <v/>
      </c>
      <c r="F38" s="63">
        <f>'📈 P&amp;L 24 месяца'!S29</f>
        <v/>
      </c>
      <c r="G38" s="64">
        <f>'📈 P&amp;L 24 месяца'!S30</f>
        <v/>
      </c>
      <c r="H38" s="63">
        <f>'📈 P&amp;L 24 месяца'!S31</f>
        <v/>
      </c>
    </row>
    <row r="39" ht="18" customHeight="1">
      <c r="A39" s="60" t="inlineStr">
        <is>
          <t>М19</t>
        </is>
      </c>
      <c r="B39" s="61">
        <f>'📈 P&amp;L 24 месяца'!T4</f>
        <v/>
      </c>
      <c r="C39" s="61">
        <f>'📈 P&amp;L 24 месяца'!T11</f>
        <v/>
      </c>
      <c r="D39" s="61">
        <f>'📈 P&amp;L 24 месяца'!T15</f>
        <v/>
      </c>
      <c r="E39" s="61">
        <f>'📈 P&amp;L 24 месяца'!T28</f>
        <v/>
      </c>
      <c r="F39" s="61">
        <f>'📈 P&amp;L 24 месяца'!T29</f>
        <v/>
      </c>
      <c r="G39" s="62">
        <f>'📈 P&amp;L 24 месяца'!T30</f>
        <v/>
      </c>
      <c r="H39" s="61">
        <f>'📈 P&amp;L 24 месяца'!T31</f>
        <v/>
      </c>
    </row>
    <row r="40" ht="18" customHeight="1">
      <c r="A40" s="60" t="inlineStr">
        <is>
          <t>М20</t>
        </is>
      </c>
      <c r="B40" s="63">
        <f>'📈 P&amp;L 24 месяца'!U4</f>
        <v/>
      </c>
      <c r="C40" s="63">
        <f>'📈 P&amp;L 24 месяца'!U11</f>
        <v/>
      </c>
      <c r="D40" s="63">
        <f>'📈 P&amp;L 24 месяца'!U15</f>
        <v/>
      </c>
      <c r="E40" s="63">
        <f>'📈 P&amp;L 24 месяца'!U28</f>
        <v/>
      </c>
      <c r="F40" s="63">
        <f>'📈 P&amp;L 24 месяца'!U29</f>
        <v/>
      </c>
      <c r="G40" s="64">
        <f>'📈 P&amp;L 24 месяца'!U30</f>
        <v/>
      </c>
      <c r="H40" s="63">
        <f>'📈 P&amp;L 24 месяца'!U31</f>
        <v/>
      </c>
    </row>
    <row r="41" ht="18" customHeight="1">
      <c r="A41" s="60" t="inlineStr">
        <is>
          <t>М21</t>
        </is>
      </c>
      <c r="B41" s="61">
        <f>'📈 P&amp;L 24 месяца'!V4</f>
        <v/>
      </c>
      <c r="C41" s="61">
        <f>'📈 P&amp;L 24 месяца'!V11</f>
        <v/>
      </c>
      <c r="D41" s="61">
        <f>'📈 P&amp;L 24 месяца'!V15</f>
        <v/>
      </c>
      <c r="E41" s="61">
        <f>'📈 P&amp;L 24 месяца'!V28</f>
        <v/>
      </c>
      <c r="F41" s="61">
        <f>'📈 P&amp;L 24 месяца'!V29</f>
        <v/>
      </c>
      <c r="G41" s="62">
        <f>'📈 P&amp;L 24 месяца'!V30</f>
        <v/>
      </c>
      <c r="H41" s="61">
        <f>'📈 P&amp;L 24 месяца'!V31</f>
        <v/>
      </c>
    </row>
    <row r="42" ht="18" customHeight="1">
      <c r="A42" s="60" t="inlineStr">
        <is>
          <t>М22</t>
        </is>
      </c>
      <c r="B42" s="63">
        <f>'📈 P&amp;L 24 месяца'!W4</f>
        <v/>
      </c>
      <c r="C42" s="63">
        <f>'📈 P&amp;L 24 месяца'!W11</f>
        <v/>
      </c>
      <c r="D42" s="63">
        <f>'📈 P&amp;L 24 месяца'!W15</f>
        <v/>
      </c>
      <c r="E42" s="63">
        <f>'📈 P&amp;L 24 месяца'!W28</f>
        <v/>
      </c>
      <c r="F42" s="63">
        <f>'📈 P&amp;L 24 месяца'!W29</f>
        <v/>
      </c>
      <c r="G42" s="64">
        <f>'📈 P&amp;L 24 месяца'!W30</f>
        <v/>
      </c>
      <c r="H42" s="63">
        <f>'📈 P&amp;L 24 месяца'!W31</f>
        <v/>
      </c>
    </row>
    <row r="43" ht="18" customHeight="1">
      <c r="A43" s="60" t="inlineStr">
        <is>
          <t>М23</t>
        </is>
      </c>
      <c r="B43" s="61">
        <f>'📈 P&amp;L 24 месяца'!X4</f>
        <v/>
      </c>
      <c r="C43" s="61">
        <f>'📈 P&amp;L 24 месяца'!X11</f>
        <v/>
      </c>
      <c r="D43" s="61">
        <f>'📈 P&amp;L 24 месяца'!X15</f>
        <v/>
      </c>
      <c r="E43" s="61">
        <f>'📈 P&amp;L 24 месяца'!X28</f>
        <v/>
      </c>
      <c r="F43" s="61">
        <f>'📈 P&amp;L 24 месяца'!X29</f>
        <v/>
      </c>
      <c r="G43" s="62">
        <f>'📈 P&amp;L 24 месяца'!X30</f>
        <v/>
      </c>
      <c r="H43" s="61">
        <f>'📈 P&amp;L 24 месяца'!X31</f>
        <v/>
      </c>
    </row>
    <row r="44" ht="18" customHeight="1">
      <c r="A44" s="60" t="inlineStr">
        <is>
          <t>М24</t>
        </is>
      </c>
      <c r="B44" s="63">
        <f>'📈 P&amp;L 24 месяца'!Y4</f>
        <v/>
      </c>
      <c r="C44" s="63">
        <f>'📈 P&amp;L 24 месяца'!Y11</f>
        <v/>
      </c>
      <c r="D44" s="63">
        <f>'📈 P&amp;L 24 месяца'!Y15</f>
        <v/>
      </c>
      <c r="E44" s="63">
        <f>'📈 P&amp;L 24 месяца'!Y28</f>
        <v/>
      </c>
      <c r="F44" s="63">
        <f>'📈 P&amp;L 24 месяца'!Y29</f>
        <v/>
      </c>
      <c r="G44" s="64">
        <f>'📈 P&amp;L 24 месяца'!Y30</f>
        <v/>
      </c>
      <c r="H44" s="63">
        <f>'📈 P&amp;L 24 месяца'!Y31</f>
        <v/>
      </c>
    </row>
  </sheetData>
  <mergeCells count="39">
    <mergeCell ref="C6:D6"/>
    <mergeCell ref="A15:B15"/>
    <mergeCell ref="C15:D15"/>
    <mergeCell ref="A11:B11"/>
    <mergeCell ref="G11:H11"/>
    <mergeCell ref="C5:D5"/>
    <mergeCell ref="E5:F5"/>
    <mergeCell ref="C14:D14"/>
    <mergeCell ref="E14:F14"/>
    <mergeCell ref="A1:H1"/>
    <mergeCell ref="A6:B6"/>
    <mergeCell ref="C4:D4"/>
    <mergeCell ref="E4:F4"/>
    <mergeCell ref="A16:B16"/>
    <mergeCell ref="C10:D10"/>
    <mergeCell ref="C16:D16"/>
    <mergeCell ref="E10:F10"/>
    <mergeCell ref="G10:H10"/>
    <mergeCell ref="G6:H6"/>
    <mergeCell ref="C9:D9"/>
    <mergeCell ref="E9:F9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4:B4"/>
    <mergeCell ref="G4:H4"/>
    <mergeCell ref="E16:F16"/>
    <mergeCell ref="G16:H16"/>
    <mergeCell ref="A10:B10"/>
    <mergeCell ref="A19:H19"/>
    <mergeCell ref="A9:B9"/>
    <mergeCell ref="G9:H9"/>
  </mergeCells>
  <conditionalFormatting sqref="F21:F4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8" customWidth="1" min="5" max="5"/>
    <col width="35" customWidth="1" min="6" max="6"/>
  </cols>
  <sheetData>
    <row r="1" ht="35" customHeight="1">
      <c r="A1" s="65" t="inlineStr">
        <is>
          <t>АНАЛИЗ СЦЕНАРИЕВ — ЧУВСТВИТЕЛЬНОСТЬ МОДЕЛИ</t>
        </is>
      </c>
    </row>
    <row r="3" ht="20" customHeight="1">
      <c r="A3" s="4" t="inlineStr">
        <is>
          <t>Параметр</t>
        </is>
      </c>
      <c r="B3" s="4" t="inlineStr">
        <is>
          <t>Пессимист.</t>
        </is>
      </c>
      <c r="C3" s="4" t="inlineStr">
        <is>
          <t>Базовый (модель)</t>
        </is>
      </c>
      <c r="D3" s="4" t="inlineStr">
        <is>
          <t>Оптимист.</t>
        </is>
      </c>
      <c r="E3" s="4" t="inlineStr">
        <is>
          <t>Ед.</t>
        </is>
      </c>
      <c r="F3" s="4" t="inlineStr">
        <is>
          <t>Описание</t>
        </is>
      </c>
    </row>
    <row r="4" ht="20" customHeight="1">
      <c r="A4" s="5" t="inlineStr">
        <is>
          <t>Конверсия Free→Premium (%)</t>
        </is>
      </c>
      <c r="B4" s="66" t="n">
        <v>0.03</v>
      </c>
      <c r="C4" s="67">
        <f>'📊 Параметры'!H10</f>
        <v/>
      </c>
      <c r="D4" s="68" t="n">
        <v>0.1</v>
      </c>
      <c r="E4" s="7" t="inlineStr">
        <is>
          <t>%</t>
        </is>
      </c>
      <c r="F4" s="2" t="inlineStr">
        <is>
          <t>Ключевой драйвер выручки</t>
        </is>
      </c>
    </row>
    <row r="5" ht="20" customHeight="1">
      <c r="A5" s="5" t="inlineStr">
        <is>
          <t>Рост установок/мес (%)</t>
        </is>
      </c>
      <c r="B5" s="66" t="n">
        <v>0.08</v>
      </c>
      <c r="C5" s="67">
        <f>'📊 Параметры'!H7</f>
        <v/>
      </c>
      <c r="D5" s="68" t="n">
        <v>0.25</v>
      </c>
      <c r="E5" s="7" t="inlineStr">
        <is>
          <t>%</t>
        </is>
      </c>
      <c r="F5" s="2" t="inlineStr">
        <is>
          <t>Эффект маркетинга</t>
        </is>
      </c>
    </row>
    <row r="6" ht="20" customHeight="1">
      <c r="A6" s="5" t="inlineStr">
        <is>
          <t>Churn Премиум (%/мес)</t>
        </is>
      </c>
      <c r="B6" s="66" t="n">
        <v>0.08</v>
      </c>
      <c r="C6" s="67">
        <f>'📊 Параметры'!H13</f>
        <v/>
      </c>
      <c r="D6" s="68" t="n">
        <v>0.03</v>
      </c>
      <c r="E6" s="7" t="inlineStr">
        <is>
          <t>%</t>
        </is>
      </c>
      <c r="F6" s="2" t="inlineStr">
        <is>
          <t>Качество продукта</t>
        </is>
      </c>
    </row>
    <row r="7" ht="20" customHeight="1">
      <c r="A7" s="5" t="inlineStr">
        <is>
          <t>ARPU Premium (руб/мес)</t>
        </is>
      </c>
      <c r="B7" s="69" t="n">
        <v>399</v>
      </c>
      <c r="C7" s="67">
        <f>'📊 Параметры'!C6</f>
        <v/>
      </c>
      <c r="D7" s="70" t="n">
        <v>599</v>
      </c>
      <c r="E7" s="7" t="inlineStr">
        <is>
          <t>руб</t>
        </is>
      </c>
      <c r="F7" s="2" t="inlineStr">
        <is>
          <t>Ценовая эластичность</t>
        </is>
      </c>
    </row>
    <row r="8" ht="20" customHeight="1">
      <c r="A8" s="5" t="inlineStr">
        <is>
          <t>CAC (руб/установку)</t>
        </is>
      </c>
      <c r="B8" s="69" t="n">
        <v>250</v>
      </c>
      <c r="C8" s="67">
        <f>'🔽 Воронка продаж'!B13</f>
        <v/>
      </c>
      <c r="D8" s="70" t="n">
        <v>80</v>
      </c>
      <c r="E8" s="7" t="inlineStr">
        <is>
          <t>руб</t>
        </is>
      </c>
      <c r="F8" s="2" t="inlineStr">
        <is>
          <t>Эффективность каналов</t>
        </is>
      </c>
    </row>
    <row r="9" ht="20" customHeight="1">
      <c r="A9" s="5" t="inlineStr">
        <is>
          <t>Доля годовых подписок</t>
        </is>
      </c>
      <c r="B9" s="66" t="n">
        <v>0.15</v>
      </c>
      <c r="C9" s="67">
        <f>'📊 Параметры'!H15</f>
        <v/>
      </c>
      <c r="D9" s="68" t="n">
        <v>0.45</v>
      </c>
      <c r="E9" s="7" t="inlineStr">
        <is>
          <t>%</t>
        </is>
      </c>
      <c r="F9" s="2" t="inlineStr">
        <is>
          <t>Дисконт vs cash flow</t>
        </is>
      </c>
    </row>
    <row r="10" ht="20" customHeight="1">
      <c r="A10" s="5" t="inlineStr">
        <is>
          <t>Органика (% от платных)</t>
        </is>
      </c>
      <c r="B10" s="66" t="n">
        <v>0.1</v>
      </c>
      <c r="C10" s="67" t="inlineStr">
        <is>
          <t>20%</t>
        </is>
      </c>
      <c r="D10" s="68" t="n">
        <v>0.35</v>
      </c>
      <c r="E10" s="7" t="inlineStr">
        <is>
          <t>%</t>
        </is>
      </c>
      <c r="F10" s="2" t="inlineStr">
        <is>
          <t>Виральность</t>
        </is>
      </c>
    </row>
    <row r="11" ht="20" customHeight="1">
      <c r="A11" s="5" t="inlineStr">
        <is>
          <t>Маркетинг М1 (руб)</t>
        </is>
      </c>
      <c r="B11" s="69" t="n">
        <v>80000</v>
      </c>
      <c r="C11" s="67">
        <f>'🔽 Воронка продаж'!B12</f>
        <v/>
      </c>
      <c r="D11" s="70" t="n">
        <v>200000</v>
      </c>
      <c r="E11" s="7" t="inlineStr">
        <is>
          <t>руб</t>
        </is>
      </c>
      <c r="F11" s="2" t="inlineStr">
        <is>
          <t>Стартовый бюджет</t>
        </is>
      </c>
    </row>
    <row r="14" ht="25" customHeight="1">
      <c r="A14" s="71" t="inlineStr">
        <is>
          <t>📊  ОЖИДАЕМЫЕ ИТОГИ ПО СЦЕНАРИЯМ (М12)</t>
        </is>
      </c>
    </row>
    <row r="15">
      <c r="A15" s="4" t="inlineStr">
        <is>
          <t>Метрика</t>
        </is>
      </c>
      <c r="B15" s="4" t="inlineStr">
        <is>
          <t>Пессимист.</t>
        </is>
      </c>
      <c r="C15" s="4" t="inlineStr">
        <is>
          <t>Базовый (формула)</t>
        </is>
      </c>
      <c r="D15" s="4" t="inlineStr">
        <is>
          <t>Оптимист.</t>
        </is>
      </c>
      <c r="E15" s="4" t="inlineStr">
        <is>
          <t>Ед.</t>
        </is>
      </c>
    </row>
    <row r="16" ht="20" customHeight="1">
      <c r="A16" s="5" t="inlineStr">
        <is>
          <t>MRR к М12 (руб)</t>
        </is>
      </c>
      <c r="B16" s="69" t="n">
        <v>300000</v>
      </c>
      <c r="C16" s="67">
        <f>'📈 P&amp;L 24 месяца'!M15</f>
        <v/>
      </c>
      <c r="D16" s="70" t="n">
        <v>2500000</v>
      </c>
      <c r="E16" s="7" t="inlineStr">
        <is>
          <t>руб</t>
        </is>
      </c>
    </row>
    <row r="17" ht="20" customHeight="1">
      <c r="A17" s="5" t="inlineStr">
        <is>
          <t>Платящих к М12</t>
        </is>
      </c>
      <c r="B17" s="69" t="n">
        <v>300</v>
      </c>
      <c r="C17" s="67">
        <f>'📈 P&amp;L 24 месяца'!M11</f>
        <v/>
      </c>
      <c r="D17" s="70" t="n">
        <v>2500</v>
      </c>
      <c r="E17" s="7" t="inlineStr">
        <is>
          <t>польз.</t>
        </is>
      </c>
    </row>
    <row r="18" ht="20" customHeight="1">
      <c r="A18" s="5" t="inlineStr">
        <is>
          <t>EBITDA М12 (руб)</t>
        </is>
      </c>
      <c r="B18" s="69" t="n">
        <v>-300000</v>
      </c>
      <c r="C18" s="67">
        <f>'📈 P&amp;L 24 месяца'!M29</f>
        <v/>
      </c>
      <c r="D18" s="70" t="n">
        <v>900000</v>
      </c>
      <c r="E18" s="7" t="inlineStr">
        <is>
          <t>руб</t>
        </is>
      </c>
    </row>
    <row r="19" ht="20" customHeight="1">
      <c r="A19" s="5" t="inlineStr">
        <is>
          <t>Break-even (мес)</t>
        </is>
      </c>
      <c r="B19" s="69" t="n">
        <v>20</v>
      </c>
      <c r="C19" s="72" t="inlineStr">
        <is>
          <t>~14–16</t>
        </is>
      </c>
      <c r="D19" s="70" t="n">
        <v>8</v>
      </c>
      <c r="E19" s="7" t="inlineStr">
        <is>
          <t>мес</t>
        </is>
      </c>
    </row>
    <row r="20" ht="20" customHeight="1">
      <c r="A20" s="5" t="inlineStr">
        <is>
          <t>LTV/CAC</t>
        </is>
      </c>
      <c r="B20" s="69" t="n">
        <v>1.5</v>
      </c>
      <c r="C20" s="67">
        <f>'🎯 Unit Economics'!B22</f>
        <v/>
      </c>
      <c r="D20" s="70" t="n">
        <v>8</v>
      </c>
      <c r="E20" s="7" t="inlineStr">
        <is>
          <t>x</t>
        </is>
      </c>
    </row>
    <row r="21" ht="20" customHeight="1">
      <c r="A21" s="5" t="inlineStr">
        <is>
          <t>Payback Period (мес)</t>
        </is>
      </c>
      <c r="B21" s="69" t="n">
        <v>22</v>
      </c>
      <c r="C21" s="67">
        <f>'🎯 Unit Economics'!B23</f>
        <v/>
      </c>
      <c r="D21" s="70" t="n">
        <v>5</v>
      </c>
      <c r="E21" s="7" t="inlineStr">
        <is>
          <t>мес</t>
        </is>
      </c>
    </row>
    <row r="24" ht="22" customHeight="1">
      <c r="A24" s="73" t="inlineStr">
        <is>
          <t>📝  КЛЮЧЕВЫЕ ДОПУЩЕНИЯ МОДЕЛИ</t>
        </is>
      </c>
    </row>
    <row r="25" ht="18" customHeight="1">
      <c r="A25" s="74" t="inlineStr">
        <is>
          <t>1.  Стоимость AI — публичные тарифы: Groq $0.005/запрос, Pollinations ~$0.04/изображение</t>
        </is>
      </c>
    </row>
    <row r="26" ht="18" customHeight="1">
      <c r="A26" s="74" t="inlineStr">
        <is>
          <t>2.  Комиссия App Store / Google Play — 30 % (стандарт; &lt; 1M USD/год можно получить 15 %)</t>
        </is>
      </c>
    </row>
    <row r="27" ht="18" customHeight="1">
      <c r="A27" s="74" t="inlineStr">
        <is>
          <t>3.  Органика = 20 % от платных установок (сарафанное радио, рефералы)</t>
        </is>
      </c>
    </row>
    <row r="28" ht="18" customHeight="1">
      <c r="A28" s="74" t="inlineStr">
        <is>
          <t>4.  Churn включает добровольные отписки и неуспешные платежи</t>
        </is>
      </c>
    </row>
    <row r="29" ht="18" customHeight="1">
      <c r="A29" s="74" t="inlineStr">
        <is>
          <t>5.  ФОТ × 1.35: НДФЛ 13 % + страховые взносы ~22 %</t>
        </is>
      </c>
    </row>
    <row r="30" ht="18" customHeight="1">
      <c r="A30" s="74" t="inlineStr">
        <is>
          <t>6.  Курс USD/RUB = 95 (изменяемый параметр на листе «Параметры»)</t>
        </is>
      </c>
    </row>
    <row r="31" ht="18" customHeight="1">
      <c r="A31" s="74" t="inlineStr">
        <is>
          <t>7.  Маркетинговый бюджет масштабируется пропорционально плану роста установок</t>
        </is>
      </c>
    </row>
    <row r="32" ht="18" customHeight="1">
      <c r="A32" s="74" t="inlineStr">
        <is>
          <t>8.  Модель — органический рост без внешних инвестиций</t>
        </is>
      </c>
    </row>
    <row r="33" ht="18" customHeight="1">
      <c r="A33" s="74" t="inlineStr">
        <is>
          <t>9.  Break-even при базовом сценарии ожидается на 14–16 месяц</t>
        </is>
      </c>
    </row>
    <row r="34" ht="18" customHeight="1">
      <c r="A34" s="74" t="inlineStr">
        <is>
          <t>10. Голосовая озвучка (*) — функция в разработке; стоимость TTS оценочная</t>
        </is>
      </c>
    </row>
    <row r="35" ht="18" customHeight="1">
      <c r="A35" s="74" t="inlineStr">
        <is>
          <t>11. Доля платных подписок через веб: избегает 30 % комиссии, учтено частично через «Доля годовых»</t>
        </is>
      </c>
    </row>
    <row r="36" ht="18" customHeight="1">
      <c r="A36" s="74" t="inlineStr">
        <is>
          <t>12. Инфраструктурные расходы масштабируются +10 % каждые 2 000 платящих пользователей</t>
        </is>
      </c>
    </row>
  </sheetData>
  <mergeCells count="15">
    <mergeCell ref="A24:F24"/>
    <mergeCell ref="A33:F33"/>
    <mergeCell ref="A1:G1"/>
    <mergeCell ref="A28:F28"/>
    <mergeCell ref="A36:F36"/>
    <mergeCell ref="A14:F14"/>
    <mergeCell ref="A32:F32"/>
    <mergeCell ref="A27:F27"/>
    <mergeCell ref="A31:F31"/>
    <mergeCell ref="A34:F34"/>
    <mergeCell ref="A35:F35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 ht="35" customHeight="1">
      <c r="A1" s="27" t="inlineStr">
        <is>
          <t>B2B МОДЕЛЬ — ЧАСТНЫЕ САДЫ И ШКОЛЫ</t>
        </is>
      </c>
    </row>
    <row r="3" ht="22" customHeight="1">
      <c r="A3" s="3" t="inlineStr">
        <is>
          <t>📋  ТАРИФНЫЕ ПЛАНЫ B2B (редактируемые)</t>
        </is>
      </c>
    </row>
    <row r="4" ht="20" customHeight="1">
      <c r="A4" s="4" t="inlineStr">
        <is>
          <t>Тариф</t>
        </is>
      </c>
      <c r="B4" s="4" t="inlineStr">
        <is>
          <t>Кол-во детей/профилей</t>
        </is>
      </c>
      <c r="C4" s="4" t="inlineStr">
        <is>
          <t>Цена руб/мес</t>
        </is>
      </c>
      <c r="D4" s="4" t="inlineStr">
        <is>
          <t>Цена руб/год</t>
        </is>
      </c>
      <c r="E4" s="4" t="inlineStr">
        <is>
          <t>Скидка год%</t>
        </is>
      </c>
      <c r="F4" s="4" t="inlineStr">
        <is>
          <t>Функции</t>
        </is>
      </c>
      <c r="G4" s="4" t="inlineStr">
        <is>
          <t>Себест-ть/мес</t>
        </is>
      </c>
      <c r="H4" s="4" t="inlineStr">
        <is>
          <t>Маржа/мес</t>
        </is>
      </c>
      <c r="I4" s="4" t="inlineStr">
        <is>
          <t>Маржа %</t>
        </is>
      </c>
      <c r="J4" s="4" t="inlineStr">
        <is>
          <t>Примечание</t>
        </is>
      </c>
    </row>
    <row r="5" ht="30" customHeight="1">
      <c r="A5" s="5" t="inlineStr">
        <is>
          <t>Мини-сад</t>
        </is>
      </c>
      <c r="B5" s="6" t="n">
        <v>30</v>
      </c>
      <c r="C5" s="6" t="n">
        <v>4900</v>
      </c>
      <c r="D5" s="18">
        <f>ROUND(C5*12*(1-E5),0)</f>
        <v/>
      </c>
      <c r="E5" s="8" t="n">
        <v>0.2</v>
      </c>
      <c r="F5" s="75" t="inlineStr">
        <is>
          <t>До 30 детей, все Premium-функции, без фото</t>
        </is>
      </c>
      <c r="G5" s="6" t="n">
        <v>1200</v>
      </c>
      <c r="H5" s="18">
        <f>C5-G5</f>
        <v/>
      </c>
      <c r="I5" s="22">
        <f>IFERROR((C5-G5)/C5,0)</f>
        <v/>
      </c>
      <c r="J5" s="2" t="inlineStr">
        <is>
          <t>Небольшой частный сад</t>
        </is>
      </c>
    </row>
    <row r="6" ht="30" customHeight="1">
      <c r="A6" s="5" t="inlineStr">
        <is>
          <t>Стандарт-сад</t>
        </is>
      </c>
      <c r="B6" s="6" t="n">
        <v>60</v>
      </c>
      <c r="C6" s="6" t="n">
        <v>8900</v>
      </c>
      <c r="D6" s="18">
        <f>ROUND(C6*12*(1-E6),0)</f>
        <v/>
      </c>
      <c r="E6" s="8" t="n">
        <v>0.2</v>
      </c>
      <c r="F6" s="75" t="inlineStr">
        <is>
          <t>До 60 детей, Premium + обработка фото</t>
        </is>
      </c>
      <c r="G6" s="6" t="n">
        <v>2000</v>
      </c>
      <c r="H6" s="18">
        <f>C6-G6</f>
        <v/>
      </c>
      <c r="I6" s="22">
        <f>IFERROR((C6-G6)/C6,0)</f>
        <v/>
      </c>
      <c r="J6" s="2" t="inlineStr">
        <is>
          <t>Средний сад / развивашка</t>
        </is>
      </c>
    </row>
    <row r="7" ht="30" customHeight="1">
      <c r="A7" s="5" t="inlineStr">
        <is>
          <t>Школа Базовая</t>
        </is>
      </c>
      <c r="B7" s="6" t="n">
        <v>150</v>
      </c>
      <c r="C7" s="6" t="n">
        <v>14900</v>
      </c>
      <c r="D7" s="18">
        <f>ROUND(C7*12*(1-E7),0)</f>
        <v/>
      </c>
      <c r="E7" s="8" t="n">
        <v>0.15</v>
      </c>
      <c r="F7" s="75" t="inlineStr">
        <is>
          <t>До 150 учеников, классы/группы, кабинет учит.</t>
        </is>
      </c>
      <c r="G7" s="6" t="n">
        <v>4000</v>
      </c>
      <c r="H7" s="18">
        <f>C7-G7</f>
        <v/>
      </c>
      <c r="I7" s="22">
        <f>IFERROR((C7-G7)/C7,0)</f>
        <v/>
      </c>
      <c r="J7" s="2" t="inlineStr">
        <is>
          <t>Начальная школа</t>
        </is>
      </c>
    </row>
    <row r="8" ht="30" customHeight="1">
      <c r="A8" s="5" t="inlineStr">
        <is>
          <t>Школа Расширенная</t>
        </is>
      </c>
      <c r="B8" s="6" t="n">
        <v>300</v>
      </c>
      <c r="C8" s="6" t="n">
        <v>24900</v>
      </c>
      <c r="D8" s="18">
        <f>ROUND(C8*12*(1-E8),0)</f>
        <v/>
      </c>
      <c r="E8" s="8" t="n">
        <v>0.15</v>
      </c>
      <c r="F8" s="75" t="inlineStr">
        <is>
          <t>До 300 учен., ВСЕ функции + аналитика</t>
        </is>
      </c>
      <c r="G8" s="6" t="n">
        <v>7000</v>
      </c>
      <c r="H8" s="18">
        <f>C8-G8</f>
        <v/>
      </c>
      <c r="I8" s="22">
        <f>IFERROR((C8-G8)/C8,0)</f>
        <v/>
      </c>
      <c r="J8" s="2" t="inlineStr">
        <is>
          <t>Средняя/крупная школа</t>
        </is>
      </c>
    </row>
    <row r="9" ht="30" customHeight="1">
      <c r="A9" s="5" t="inlineStr">
        <is>
          <t>Корпоративный</t>
        </is>
      </c>
      <c r="B9" s="6" t="n">
        <v>999</v>
      </c>
      <c r="C9" s="6" t="n">
        <v>49900</v>
      </c>
      <c r="D9" s="18">
        <f>ROUND(C9*12*(1-E9),0)</f>
        <v/>
      </c>
      <c r="E9" s="8" t="n">
        <v>0.1</v>
      </c>
      <c r="F9" s="75" t="inlineStr">
        <is>
          <t>Безлимит, white-label, API, SLA</t>
        </is>
      </c>
      <c r="G9" s="6" t="n">
        <v>15000</v>
      </c>
      <c r="H9" s="18">
        <f>C9-G9</f>
        <v/>
      </c>
      <c r="I9" s="22">
        <f>IFERROR((C9-G9)/C9,0)</f>
        <v/>
      </c>
      <c r="J9" s="2" t="inlineStr">
        <is>
          <t>Сеть садов/школ</t>
        </is>
      </c>
    </row>
    <row r="12" ht="22" customHeight="1">
      <c r="A12" s="3" t="inlineStr">
        <is>
          <t>📈  ПРОГНОЗ ПРОДАЖ B2B — 24 МЕСЯЦА</t>
        </is>
      </c>
    </row>
    <row r="13" ht="20" customHeight="1">
      <c r="A13" s="4" t="inlineStr">
        <is>
          <t>Показатель</t>
        </is>
      </c>
      <c r="B13" s="4" t="inlineStr">
        <is>
          <t>М1</t>
        </is>
      </c>
      <c r="C13" s="4" t="inlineStr">
        <is>
          <t>М2</t>
        </is>
      </c>
      <c r="D13" s="4" t="inlineStr">
        <is>
          <t>М3</t>
        </is>
      </c>
      <c r="E13" s="4" t="inlineStr">
        <is>
          <t>М4</t>
        </is>
      </c>
      <c r="F13" s="4" t="inlineStr">
        <is>
          <t>М5</t>
        </is>
      </c>
      <c r="G13" s="4" t="inlineStr">
        <is>
          <t>М6</t>
        </is>
      </c>
      <c r="H13" s="4" t="inlineStr">
        <is>
          <t>М7</t>
        </is>
      </c>
      <c r="I13" s="4" t="inlineStr">
        <is>
          <t>М8</t>
        </is>
      </c>
      <c r="J13" s="4" t="inlineStr">
        <is>
          <t>М9</t>
        </is>
      </c>
      <c r="K13" s="4" t="inlineStr">
        <is>
          <t>М10</t>
        </is>
      </c>
      <c r="L13" s="4" t="inlineStr">
        <is>
          <t>М11</t>
        </is>
      </c>
      <c r="M13" s="4" t="inlineStr">
        <is>
          <t>М12</t>
        </is>
      </c>
      <c r="N13" s="4" t="inlineStr">
        <is>
          <t>М18</t>
        </is>
      </c>
      <c r="O13" s="4" t="inlineStr">
        <is>
          <t>М24</t>
        </is>
      </c>
    </row>
    <row r="14" ht="20" customHeight="1">
      <c r="A14" s="5" t="inlineStr">
        <is>
          <t>Новые клиентов/мес (план)</t>
        </is>
      </c>
      <c r="B14" s="6" t="n">
        <v>0</v>
      </c>
      <c r="C14" s="6" t="n">
        <v>0</v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3</v>
      </c>
      <c r="I14" s="6" t="n">
        <v>3</v>
      </c>
      <c r="J14" s="6" t="n">
        <v>4</v>
      </c>
      <c r="K14" s="6" t="n">
        <v>4</v>
      </c>
      <c r="L14" s="6" t="n">
        <v>5</v>
      </c>
      <c r="M14" s="6" t="n">
        <v>5</v>
      </c>
      <c r="N14" s="6" t="n">
        <v>7</v>
      </c>
      <c r="O14" s="6" t="n">
        <v>10</v>
      </c>
    </row>
    <row r="15" ht="20" customHeight="1">
      <c r="A15" s="5" t="inlineStr">
        <is>
          <t>Накопл. клиентов</t>
        </is>
      </c>
      <c r="B15" s="18">
        <f>B14</f>
        <v/>
      </c>
      <c r="C15" s="18">
        <f>B15+C14</f>
        <v/>
      </c>
      <c r="D15" s="18">
        <f>C15+D14</f>
        <v/>
      </c>
      <c r="E15" s="18">
        <f>D15+E14</f>
        <v/>
      </c>
      <c r="F15" s="18">
        <f>E15+F14</f>
        <v/>
      </c>
      <c r="G15" s="18">
        <f>F15+G14</f>
        <v/>
      </c>
      <c r="H15" s="18">
        <f>G15+H14</f>
        <v/>
      </c>
      <c r="I15" s="18">
        <f>H15+I14</f>
        <v/>
      </c>
      <c r="J15" s="18">
        <f>I15+J14</f>
        <v/>
      </c>
      <c r="K15" s="18">
        <f>J15+K14</f>
        <v/>
      </c>
      <c r="L15" s="18">
        <f>K15+L14</f>
        <v/>
      </c>
      <c r="M15" s="18">
        <f>L15+M14</f>
        <v/>
      </c>
      <c r="N15" s="18">
        <f>M15+N14</f>
        <v/>
      </c>
      <c r="O15" s="18">
        <f>N15+O14</f>
        <v/>
      </c>
    </row>
    <row r="16" ht="20" customHeight="1">
      <c r="A16" s="5" t="inlineStr">
        <is>
          <t>Средний чек B2B (руб/мес)</t>
        </is>
      </c>
      <c r="B16" s="6" t="n">
        <v>12000</v>
      </c>
      <c r="C16" s="6" t="n">
        <v>12000</v>
      </c>
      <c r="D16" s="6" t="n">
        <v>12000</v>
      </c>
      <c r="E16" s="6" t="n">
        <v>12000</v>
      </c>
      <c r="F16" s="6" t="n">
        <v>12000</v>
      </c>
      <c r="G16" s="6" t="n">
        <v>12000</v>
      </c>
      <c r="H16" s="6" t="n">
        <v>12000</v>
      </c>
      <c r="I16" s="6" t="n">
        <v>12000</v>
      </c>
      <c r="J16" s="6" t="n">
        <v>12000</v>
      </c>
      <c r="K16" s="6" t="n">
        <v>12000</v>
      </c>
      <c r="L16" s="6" t="n">
        <v>12000</v>
      </c>
      <c r="M16" s="6" t="n">
        <v>12000</v>
      </c>
      <c r="N16" s="6" t="n">
        <v>12000</v>
      </c>
      <c r="O16" s="6" t="n">
        <v>12000</v>
      </c>
    </row>
    <row r="17" ht="20" customHeight="1">
      <c r="A17" s="5" t="inlineStr">
        <is>
          <t>MRR B2B (руб)</t>
        </is>
      </c>
      <c r="B17" s="18">
        <f>B15*B16</f>
        <v/>
      </c>
      <c r="C17" s="18">
        <f>C15*C16</f>
        <v/>
      </c>
      <c r="D17" s="18">
        <f>D15*D16</f>
        <v/>
      </c>
      <c r="E17" s="18">
        <f>E15*E16</f>
        <v/>
      </c>
      <c r="F17" s="18">
        <f>F15*F16</f>
        <v/>
      </c>
      <c r="G17" s="18">
        <f>G15*G16</f>
        <v/>
      </c>
      <c r="H17" s="18">
        <f>H15*H16</f>
        <v/>
      </c>
      <c r="I17" s="18">
        <f>I15*I16</f>
        <v/>
      </c>
      <c r="J17" s="18">
        <f>J15*J16</f>
        <v/>
      </c>
      <c r="K17" s="18">
        <f>K15*K16</f>
        <v/>
      </c>
      <c r="L17" s="18">
        <f>L15*L16</f>
        <v/>
      </c>
      <c r="M17" s="18">
        <f>M15*M16</f>
        <v/>
      </c>
      <c r="N17" s="18">
        <f>N15*N16</f>
        <v/>
      </c>
      <c r="O17" s="18">
        <f>O15*O16</f>
        <v/>
      </c>
    </row>
    <row r="18" ht="20" customHeight="1">
      <c r="A18" s="5" t="inlineStr">
        <is>
          <t>Годовые контракты (руб)</t>
        </is>
      </c>
      <c r="B18" s="18">
        <f>ROUND(B17*12*0.3*0.85,0)</f>
        <v/>
      </c>
      <c r="C18" s="18">
        <f>ROUND(C17*12*0.3*0.85,0)</f>
        <v/>
      </c>
      <c r="D18" s="18">
        <f>ROUND(D17*12*0.3*0.85,0)</f>
        <v/>
      </c>
      <c r="E18" s="18">
        <f>ROUND(E17*12*0.3*0.85,0)</f>
        <v/>
      </c>
      <c r="F18" s="18">
        <f>ROUND(F17*12*0.3*0.85,0)</f>
        <v/>
      </c>
      <c r="G18" s="18">
        <f>ROUND(G17*12*0.3*0.85,0)</f>
        <v/>
      </c>
      <c r="H18" s="18">
        <f>ROUND(H17*12*0.3*0.85,0)</f>
        <v/>
      </c>
      <c r="I18" s="18">
        <f>ROUND(I17*12*0.3*0.85,0)</f>
        <v/>
      </c>
      <c r="J18" s="18">
        <f>ROUND(J17*12*0.3*0.85,0)</f>
        <v/>
      </c>
      <c r="K18" s="18">
        <f>ROUND(K17*12*0.3*0.85,0)</f>
        <v/>
      </c>
      <c r="L18" s="18">
        <f>ROUND(L17*12*0.3*0.85,0)</f>
        <v/>
      </c>
      <c r="M18" s="18">
        <f>ROUND(M17*12*0.3*0.85,0)</f>
        <v/>
      </c>
      <c r="N18" s="18">
        <f>ROUND(N17*12*0.3*0.85,0)</f>
        <v/>
      </c>
      <c r="O18" s="18">
        <f>ROUND(O17*12*0.3*0.85,0)</f>
        <v/>
      </c>
    </row>
    <row r="19" ht="20" customHeight="1">
      <c r="A19" s="5" t="inlineStr">
        <is>
          <t>Себест-ть B2B итого (руб)</t>
        </is>
      </c>
      <c r="B19" s="18">
        <f>B15*4000</f>
        <v/>
      </c>
      <c r="C19" s="18">
        <f>C15*4000</f>
        <v/>
      </c>
      <c r="D19" s="18">
        <f>D15*4000</f>
        <v/>
      </c>
      <c r="E19" s="18">
        <f>E15*4000</f>
        <v/>
      </c>
      <c r="F19" s="18">
        <f>F15*4000</f>
        <v/>
      </c>
      <c r="G19" s="18">
        <f>G15*4000</f>
        <v/>
      </c>
      <c r="H19" s="18">
        <f>H15*4000</f>
        <v/>
      </c>
      <c r="I19" s="18">
        <f>I15*4000</f>
        <v/>
      </c>
      <c r="J19" s="18">
        <f>J15*4000</f>
        <v/>
      </c>
      <c r="K19" s="18">
        <f>K15*4000</f>
        <v/>
      </c>
      <c r="L19" s="18">
        <f>L15*4000</f>
        <v/>
      </c>
      <c r="M19" s="18">
        <f>M15*4000</f>
        <v/>
      </c>
      <c r="N19" s="18">
        <f>N15*4000</f>
        <v/>
      </c>
      <c r="O19" s="18">
        <f>O15*4000</f>
        <v/>
      </c>
    </row>
    <row r="20" ht="20" customHeight="1">
      <c r="A20" s="5" t="inlineStr">
        <is>
          <t>Валовая прибыль B2B (руб)</t>
        </is>
      </c>
      <c r="B20" s="18">
        <f>B17-B19</f>
        <v/>
      </c>
      <c r="C20" s="18">
        <f>C17-C19</f>
        <v/>
      </c>
      <c r="D20" s="18">
        <f>D17-D19</f>
        <v/>
      </c>
      <c r="E20" s="18">
        <f>E17-E19</f>
        <v/>
      </c>
      <c r="F20" s="18">
        <f>F17-F19</f>
        <v/>
      </c>
      <c r="G20" s="18">
        <f>G17-G19</f>
        <v/>
      </c>
      <c r="H20" s="18">
        <f>H17-H19</f>
        <v/>
      </c>
      <c r="I20" s="18">
        <f>I17-I19</f>
        <v/>
      </c>
      <c r="J20" s="18">
        <f>J17-J19</f>
        <v/>
      </c>
      <c r="K20" s="18">
        <f>K17-K19</f>
        <v/>
      </c>
      <c r="L20" s="18">
        <f>L17-L19</f>
        <v/>
      </c>
      <c r="M20" s="18">
        <f>M17-M19</f>
        <v/>
      </c>
      <c r="N20" s="18">
        <f>N17-N19</f>
        <v/>
      </c>
      <c r="O20" s="18">
        <f>O17-O19</f>
        <v/>
      </c>
    </row>
    <row r="21" ht="20" customHeight="1">
      <c r="A21" s="5" t="inlineStr">
        <is>
          <t>Маржинальность B2B</t>
        </is>
      </c>
      <c r="B21" s="22">
        <f>IFERROR(B20/B17,0)</f>
        <v/>
      </c>
      <c r="C21" s="22">
        <f>IFERROR(C20/C17,0)</f>
        <v/>
      </c>
      <c r="D21" s="22">
        <f>IFERROR(D20/D17,0)</f>
        <v/>
      </c>
      <c r="E21" s="22">
        <f>IFERROR(E20/E17,0)</f>
        <v/>
      </c>
      <c r="F21" s="22">
        <f>IFERROR(F20/F17,0)</f>
        <v/>
      </c>
      <c r="G21" s="22">
        <f>IFERROR(G20/G17,0)</f>
        <v/>
      </c>
      <c r="H21" s="22">
        <f>IFERROR(H20/H17,0)</f>
        <v/>
      </c>
      <c r="I21" s="22">
        <f>IFERROR(I20/I17,0)</f>
        <v/>
      </c>
      <c r="J21" s="22">
        <f>IFERROR(J20/J17,0)</f>
        <v/>
      </c>
      <c r="K21" s="22">
        <f>IFERROR(K20/K17,0)</f>
        <v/>
      </c>
      <c r="L21" s="22">
        <f>IFERROR(L20/L17,0)</f>
        <v/>
      </c>
      <c r="M21" s="22">
        <f>IFERROR(M20/M17,0)</f>
        <v/>
      </c>
      <c r="N21" s="22">
        <f>IFERROR(N20/N17,0)</f>
        <v/>
      </c>
      <c r="O21" s="22">
        <f>IFERROR(O20/O17,0)</f>
        <v/>
      </c>
    </row>
    <row r="24" ht="22" customHeight="1">
      <c r="A24" s="3" t="inlineStr">
        <is>
          <t>💰  UNIT ECONOMICS B2B</t>
        </is>
      </c>
    </row>
    <row r="25">
      <c r="A25" s="5" t="inlineStr">
        <is>
          <t>Бюджет привлечения B2B / мес (руб)</t>
        </is>
      </c>
      <c r="C25" s="6" t="n">
        <v>80000</v>
      </c>
    </row>
    <row r="26">
      <c r="A26" s="5" t="inlineStr">
        <is>
          <t>Кол-во лидов от продаж/мес</t>
        </is>
      </c>
      <c r="C26" s="6" t="n">
        <v>15</v>
      </c>
    </row>
    <row r="27">
      <c r="A27" s="5" t="inlineStr">
        <is>
          <t>CR лид → клиент (%)</t>
        </is>
      </c>
      <c r="C27" s="8" t="n">
        <v>0.2</v>
      </c>
    </row>
    <row r="28">
      <c r="A28" s="5" t="inlineStr">
        <is>
          <t>CAC B2B (руб)</t>
        </is>
      </c>
      <c r="C28" s="76">
        <f>IFERROR(C25/(C26*C27),0)</f>
        <v/>
      </c>
    </row>
    <row r="29">
      <c r="A29" s="5" t="inlineStr">
        <is>
          <t>Ср. чек/мес B2B (руб)</t>
        </is>
      </c>
      <c r="C29" s="6" t="n">
        <v>12000</v>
      </c>
    </row>
    <row r="30">
      <c r="A30" s="5" t="inlineStr">
        <is>
          <t>Средний срок контракта (мес)</t>
        </is>
      </c>
      <c r="C30" s="6" t="n">
        <v>18</v>
      </c>
    </row>
    <row r="31">
      <c r="A31" s="5" t="inlineStr">
        <is>
          <t>LTV B2B (руб)</t>
        </is>
      </c>
      <c r="C31" s="18">
        <f>C29*C30</f>
        <v/>
      </c>
    </row>
    <row r="32">
      <c r="A32" s="5" t="inlineStr">
        <is>
          <t>LTV / CAC B2B</t>
        </is>
      </c>
      <c r="C32" s="77">
        <f>IFERROR(C31/C28,0)</f>
        <v/>
      </c>
    </row>
    <row r="33">
      <c r="A33" s="5" t="inlineStr">
        <is>
          <t>Payback Period B2B (мес)</t>
        </is>
      </c>
      <c r="C33" s="12">
        <f>IFERROR(C28/C29,0)</f>
        <v/>
      </c>
    </row>
    <row r="36" ht="22" customHeight="1">
      <c r="A36" s="3" t="inlineStr">
        <is>
          <t>📡  КАНАЛЫ ПРИВЛЕЧЕНИЯ B2B</t>
        </is>
      </c>
    </row>
    <row r="37" ht="20" customHeight="1">
      <c r="A37" s="4" t="inlineStr">
        <is>
          <t>Канал</t>
        </is>
      </c>
      <c r="B37" s="4" t="inlineStr">
        <is>
          <t>Бюджет руб/мес</t>
        </is>
      </c>
      <c r="C37" s="4" t="inlineStr">
        <is>
          <t>Лидов/мес</t>
        </is>
      </c>
      <c r="D37" s="4" t="inlineStr">
        <is>
          <t>CR лид→клиент</t>
        </is>
      </c>
      <c r="E37" s="4" t="inlineStr">
        <is>
          <t>Клиентов/мес</t>
        </is>
      </c>
      <c r="F37" s="4" t="inlineStr">
        <is>
          <t>CAC руб</t>
        </is>
      </c>
      <c r="G37" s="4" t="inlineStr">
        <is>
          <t>Комментарий</t>
        </is>
      </c>
    </row>
    <row r="38" ht="20" customHeight="1">
      <c r="A38" s="5" t="inlineStr">
        <is>
          <t>Прямые продажи (звонки/встречи)</t>
        </is>
      </c>
      <c r="B38" s="6" t="n">
        <v>30000</v>
      </c>
      <c r="C38" s="6" t="n">
        <v>10</v>
      </c>
      <c r="D38" s="8" t="n">
        <v>0.3</v>
      </c>
      <c r="E38" s="12">
        <f>ROUND(C38*D38,1)</f>
        <v/>
      </c>
      <c r="F38" s="18">
        <f>IFERROR(B38/(C38*D38),0)</f>
        <v/>
      </c>
      <c r="G38" s="2" t="inlineStr">
        <is>
          <t>Менеджер по B2B-продажам</t>
        </is>
      </c>
    </row>
    <row r="39" ht="20" customHeight="1">
      <c r="A39" s="5" t="inlineStr">
        <is>
          <t>Офлайн: конференции/выставки</t>
        </is>
      </c>
      <c r="B39" s="6" t="n">
        <v>20000</v>
      </c>
      <c r="C39" s="6" t="n">
        <v>5</v>
      </c>
      <c r="D39" s="8" t="n">
        <v>0.25</v>
      </c>
      <c r="E39" s="12">
        <f>ROUND(C39*D39,1)</f>
        <v/>
      </c>
      <c r="F39" s="18">
        <f>IFERROR(B39/(C39*D39),0)</f>
        <v/>
      </c>
      <c r="G39" s="2" t="inlineStr">
        <is>
          <t>EdTech-мероприятия, ярмарки</t>
        </is>
      </c>
    </row>
    <row r="40" ht="20" customHeight="1">
      <c r="A40" s="5" t="inlineStr">
        <is>
          <t>LinkedIn / деловые соцсети</t>
        </is>
      </c>
      <c r="B40" s="6" t="n">
        <v>10000</v>
      </c>
      <c r="C40" s="6" t="n">
        <v>4</v>
      </c>
      <c r="D40" s="8" t="n">
        <v>0.15</v>
      </c>
      <c r="E40" s="12">
        <f>ROUND(C40*D40,1)</f>
        <v/>
      </c>
      <c r="F40" s="18">
        <f>IFERROR(B40/(C40*D40),0)</f>
        <v/>
      </c>
      <c r="G40" s="2" t="inlineStr">
        <is>
          <t>HR и директора учреждений</t>
        </is>
      </c>
    </row>
    <row r="41" ht="20" customHeight="1">
      <c r="A41" s="5" t="inlineStr">
        <is>
          <t>Email-рассылка директорам</t>
        </is>
      </c>
      <c r="B41" s="6" t="n">
        <v>5000</v>
      </c>
      <c r="C41" s="6" t="n">
        <v>3</v>
      </c>
      <c r="D41" s="8" t="n">
        <v>0.2</v>
      </c>
      <c r="E41" s="12">
        <f>ROUND(C41*D41,1)</f>
        <v/>
      </c>
      <c r="F41" s="18">
        <f>IFERROR(B41/(C41*D41),0)</f>
        <v/>
      </c>
      <c r="G41" s="2" t="inlineStr">
        <is>
          <t>База из открытых реестров</t>
        </is>
      </c>
    </row>
    <row r="42" ht="20" customHeight="1">
      <c r="A42" s="5" t="inlineStr">
        <is>
          <t>Партнёрства (агентства EdTech)</t>
        </is>
      </c>
      <c r="B42" s="6" t="n">
        <v>15000</v>
      </c>
      <c r="C42" s="6" t="n">
        <v>3</v>
      </c>
      <c r="D42" s="8" t="n">
        <v>0.35</v>
      </c>
      <c r="E42" s="12">
        <f>ROUND(C42*D42,1)</f>
        <v/>
      </c>
      <c r="F42" s="18">
        <f>IFERROR(B42/(C42*D42),0)</f>
        <v/>
      </c>
      <c r="G42" s="2" t="inlineStr">
        <is>
          <t>Реферальное вознаграждение 10%</t>
        </is>
      </c>
    </row>
    <row r="43" ht="20" customHeight="1">
      <c r="A43" s="19" t="inlineStr">
        <is>
          <t>ИТОГО B2B</t>
        </is>
      </c>
      <c r="B43" s="20">
        <f>SUM(B38:B42)</f>
        <v/>
      </c>
      <c r="C43" s="20">
        <f>SUM(C38:C42)</f>
        <v/>
      </c>
      <c r="E43" s="20">
        <f>SUM(E38:E42)</f>
        <v/>
      </c>
    </row>
    <row r="44" ht="22" customHeight="1">
      <c r="A44" s="13" t="inlineStr">
        <is>
          <t>Взвешенный CAC B2B (бюджет / клиентов)</t>
        </is>
      </c>
      <c r="B44" s="78">
        <f>IFERROR(B43/E43,0)</f>
        <v/>
      </c>
    </row>
    <row r="47" ht="22" customHeight="1">
      <c r="A47" s="3" t="inlineStr">
        <is>
          <t>📊  СОВОКУПНЫЙ ИТОГ (B2C + B2B) — 12 МЕСЯЦ</t>
        </is>
      </c>
    </row>
    <row r="48" ht="20" customHeight="1">
      <c r="A48" s="5" t="inlineStr">
        <is>
          <t>MRR B2C (руб) — из листа P&amp;L</t>
        </is>
      </c>
      <c r="C48" s="18">
        <f>'📈 P&amp;L 24 месяца'!N6</f>
        <v/>
      </c>
    </row>
    <row r="49" ht="20" customHeight="1">
      <c r="A49" s="5" t="inlineStr">
        <is>
          <t>MRR B2B (руб) — текущий лист</t>
        </is>
      </c>
      <c r="C49" s="18">
        <f>N17</f>
        <v/>
      </c>
    </row>
    <row r="50" ht="20" customHeight="1">
      <c r="A50" s="5" t="inlineStr">
        <is>
          <t>Итого MRR (руб)</t>
        </is>
      </c>
      <c r="C50" s="20">
        <f>C48+C49</f>
        <v/>
      </c>
    </row>
    <row r="51" ht="20" customHeight="1">
      <c r="A51" s="5" t="inlineStr">
        <is>
          <t>Платящих B2C пользователей</t>
        </is>
      </c>
      <c r="C51" s="18">
        <f>'📈 P&amp;L 24 месяца'!N8</f>
        <v/>
      </c>
    </row>
    <row r="52" ht="20" customHeight="1">
      <c r="A52" s="5" t="inlineStr">
        <is>
          <t>Клиентов B2B</t>
        </is>
      </c>
      <c r="C52" s="18">
        <f>N15</f>
        <v/>
      </c>
    </row>
    <row r="53" ht="20" customHeight="1">
      <c r="A53" s="5" t="inlineStr">
        <is>
          <t>Итого выручка ARR (руб)</t>
        </is>
      </c>
      <c r="C53" s="20">
        <f>C50*12</f>
        <v/>
      </c>
    </row>
  </sheetData>
  <mergeCells count="6">
    <mergeCell ref="A47:J47"/>
    <mergeCell ref="A1:J1"/>
    <mergeCell ref="A36:J36"/>
    <mergeCell ref="A3:J3"/>
    <mergeCell ref="A12:J12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2026-03-12T07:52:01Z</dcterms:created>
  <dcterms:modified xsi:type="dcterms:W3CDTF">2026-03-12T07:52:03Z</dcterms:modified>
</cp:coreProperties>
</file>